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City Database" sheetId="1" state="visible" r:id="rId1"/>
    <sheet xmlns:r="http://schemas.openxmlformats.org/officeDocument/2006/relationships" name="Scores by Dimension" sheetId="2" state="visible" r:id="rId2"/>
    <sheet xmlns:r="http://schemas.openxmlformats.org/officeDocument/2006/relationships" name="Budget Tiers" sheetId="3" state="visible" r:id="rId3"/>
    <sheet xmlns:r="http://schemas.openxmlformats.org/officeDocument/2006/relationships" name="New Cities to Add" sheetId="4" state="visible" r:id="rId4"/>
    <sheet xmlns:r="http://schemas.openxmlformats.org/officeDocument/2006/relationships" name="Parked — Future Build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8"/>
      <sz val="14"/>
    </font>
    <font>
      <name val="Calibri"/>
      <b val="1"/>
      <color indexed="8"/>
      <sz val="11"/>
    </font>
    <font>
      <name val="Calibri"/>
      <b val="1"/>
      <color indexed="8"/>
      <sz val="12"/>
    </font>
  </fonts>
  <fills count="3">
    <fill>
      <patternFill/>
    </fill>
    <fill>
      <patternFill patternType="gray125"/>
    </fill>
    <fill>
      <patternFill patternType="solid">
        <fgColor indexed="9"/>
        <bgColor auto="1"/>
      </patternFill>
    </fill>
  </fills>
  <borders count="2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Alignment="1">
      <alignment vertical="bottom"/>
    </xf>
  </cellStyleXfs>
  <cellXfs count="23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49" fontId="0" fillId="2" borderId="1" applyAlignment="1" pivotButton="0" quotePrefix="0" xfId="0">
      <alignment vertical="bottom"/>
    </xf>
    <xf numFmtId="0" fontId="0" fillId="0" borderId="1" applyAlignment="1" pivotButton="0" quotePrefix="0" xfId="0">
      <alignment vertical="bottom"/>
    </xf>
    <xf numFmtId="49" fontId="4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bottom"/>
    </xf>
    <xf numFmtId="0" fontId="0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bottom"/>
    </xf>
    <xf numFmtId="49" fontId="0" fillId="0" borderId="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vertical="bottom"/>
    </xf>
    <xf numFmtId="49" fontId="4" fillId="2" borderId="1" applyAlignment="1" pivotButton="0" quotePrefix="0" xfId="0">
      <alignment vertical="bottom"/>
    </xf>
    <xf numFmtId="0" fontId="4" fillId="2" borderId="1" applyAlignment="1" pivotButton="0" quotePrefix="0" xfId="0">
      <alignment vertical="bottom"/>
    </xf>
    <xf numFmtId="164" fontId="0" fillId="2" borderId="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0" fillId="2" borderId="1" applyAlignment="1" pivotButton="0" quotePrefix="0" xfId="0">
      <alignment vertical="bottom" wrapText="1"/>
    </xf>
    <xf numFmtId="0" fontId="0" fillId="0" borderId="0" pivotButton="0" quotePrefix="0" xfId="0"/>
    <xf numFmtId="164" fontId="0" fillId="2" borderId="1" applyAlignment="1" pivotButton="0" quotePrefix="0" xfId="0">
      <alignment vertical="bottom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4" customWidth="1" style="18" min="1" max="1"/>
    <col width="20" customWidth="1" style="18" min="2" max="2"/>
    <col width="4" customWidth="1" style="18" min="3" max="3"/>
    <col width="27" customWidth="1" style="18" min="4" max="4"/>
    <col width="8" customWidth="1" style="18" min="5" max="5"/>
    <col width="22" customWidth="1" style="18" min="6" max="7"/>
    <col width="9" customWidth="1" style="18" min="8" max="19"/>
    <col width="32" customWidth="1" style="18" min="20" max="20"/>
    <col width="38" customWidth="1" style="18" min="21" max="21"/>
    <col width="8.67188" customWidth="1" style="18" min="22" max="26"/>
    <col width="9" customWidth="1" style="18" min="27" max="27"/>
    <col width="60" customWidth="1" style="18" min="28" max="28"/>
    <col width="8.67188" customWidth="1" style="18" min="29" max="16384"/>
  </cols>
  <sheetData>
    <row r="1" ht="17.25" customHeight="1" s="20">
      <c r="A1" s="7" t="n"/>
      <c r="B1" s="3" t="inlineStr">
        <is>
          <t>RetireMeHere — City Database (June 2026, v3.3 — 100 cities)</t>
        </is>
      </c>
      <c r="C1" s="7" t="n"/>
      <c r="D1" s="7" t="n"/>
      <c r="E1" s="7" t="n"/>
      <c r="F1" s="7" t="n"/>
      <c r="G1" s="7" t="n"/>
      <c r="H1" s="4" t="inlineStr">
        <is>
          <t>Median Home source: Zillow ZHVI (City geography, All Homes SFR+Condo, Smoothed &amp; Seasonally Adjusted), snapshot 2026-06-30. All 99 cities use the citywide figure, per MEDIAN-HOME-METHODOLOGY.md v1.2. The former 8-city retiree-target neighborhood basis was retired 2026-07-13; where target neighborhoods run materially above the citywide median that is disclosed in profile prose via a Neighborhood Reality Check note, not by altering the number.</t>
        </is>
      </c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9" t="n"/>
      <c r="W1" s="9" t="n"/>
      <c r="X1" s="9" t="n"/>
      <c r="Y1" s="9" t="n"/>
      <c r="Z1" s="9" t="n"/>
      <c r="AA1" s="7" t="n"/>
      <c r="AB1" s="7" t="n"/>
      <c r="AC1" s="18" t="inlineStr">
        <is>
          <t>Jan Mean F / Ann Snow in / Ann Sun %: NOAA-NWS 1991-2020 normals. Added v16.4.</t>
        </is>
      </c>
    </row>
    <row r="2" ht="31.5" customHeight="1" s="20">
      <c r="A2" s="6" t="inlineStr">
        <is>
          <t>#</t>
        </is>
      </c>
      <c r="B2" s="6" t="inlineStr">
        <is>
          <t>City</t>
        </is>
      </c>
      <c r="C2" s="6" t="inlineStr">
        <is>
          <t>ST</t>
        </is>
      </c>
      <c r="D2" s="6" t="inlineStr">
        <is>
          <t>Type</t>
        </is>
      </c>
      <c r="E2" s="6" t="inlineStr">
        <is>
          <t>Budget
Range</t>
        </is>
      </c>
      <c r="F2" s="6" t="inlineStr">
        <is>
          <t>Monthly Est</t>
        </is>
      </c>
      <c r="G2" s="6" t="inlineStr">
        <is>
          <t>Median Home</t>
        </is>
      </c>
      <c r="H2" s="6" t="inlineStr">
        <is>
          <t>D1
Airport</t>
        </is>
      </c>
      <c r="I2" s="6" t="inlineStr">
        <is>
          <t>D2
Budget</t>
        </is>
      </c>
      <c r="J2" s="6" t="inlineStr">
        <is>
          <t>D3
Health</t>
        </is>
      </c>
      <c r="K2" s="6" t="inlineStr">
        <is>
          <t>D5
Tax</t>
        </is>
      </c>
      <c r="L2" s="6" t="inlineStr">
        <is>
          <t>D6
Walk</t>
        </is>
      </c>
      <c r="M2" s="6" t="inlineStr">
        <is>
          <t>D7
Outdoor</t>
        </is>
      </c>
      <c r="N2" s="6" t="inlineStr">
        <is>
          <t>D8
Wellness</t>
        </is>
      </c>
      <c r="O2" s="6" t="inlineStr">
        <is>
          <t>D9
Safety</t>
        </is>
      </c>
      <c r="P2" s="6" t="inlineStr">
        <is>
          <t>D10
Comm.</t>
        </is>
      </c>
      <c r="Q2" s="6" t="inlineStr">
        <is>
          <t>Climate
Warm W</t>
        </is>
      </c>
      <c r="R2" s="6" t="inlineStr">
        <is>
          <t>Climate
Hot Sum</t>
        </is>
      </c>
      <c r="S2" s="6" t="inlineStr">
        <is>
          <t>Climate
Dryness M</t>
        </is>
      </c>
      <c r="T2" s="6" t="inlineStr">
        <is>
          <t>Setting</t>
        </is>
      </c>
      <c r="U2" s="6" t="inlineStr">
        <is>
          <t>Character</t>
        </is>
      </c>
      <c r="V2" s="6" t="inlineStr">
        <is>
          <t>HUM
(0-10)</t>
        </is>
      </c>
      <c r="W2" s="6" t="inlineStr">
        <is>
          <t>HEAT
(0-10)</t>
        </is>
      </c>
      <c r="X2" s="6" t="inlineStr">
        <is>
          <t>PropTax
Rate %</t>
        </is>
      </c>
      <c r="Y2" s="6" t="inlineStr">
        <is>
          <t>HO Insur
Est $/yr</t>
        </is>
      </c>
      <c r="Z2" s="6" t="inlineStr">
        <is>
          <t>Ins
Variance Note</t>
        </is>
      </c>
      <c r="AA2" s="6" t="inlineStr">
        <is>
          <t>D4
Resil.</t>
        </is>
      </c>
      <c r="AB2" s="6" t="inlineStr">
        <is>
          <t>D4 Resil.
Rationale</t>
        </is>
      </c>
      <c r="AC2" s="22" t="inlineStr">
        <is>
          <t>Jan Mean F</t>
        </is>
      </c>
      <c r="AD2" s="22" t="inlineStr">
        <is>
          <t>Ann Snow in</t>
        </is>
      </c>
      <c r="AE2" s="22" t="inlineStr">
        <is>
          <t>Ann Sun %</t>
        </is>
      </c>
    </row>
    <row r="3" ht="15" customHeight="1" s="20">
      <c r="A3" s="7" t="n">
        <v>1</v>
      </c>
      <c r="B3" s="4" t="inlineStr">
        <is>
          <t>Fairhope</t>
        </is>
      </c>
      <c r="C3" s="4" t="inlineStr">
        <is>
          <t>AL</t>
        </is>
      </c>
      <c r="D3" s="4" t="inlineStr">
        <is>
          <t>Small Town / Coastal</t>
        </is>
      </c>
      <c r="E3" s="7" t="n">
        <v>2</v>
      </c>
      <c r="F3" s="4" t="inlineStr">
        <is>
          <t>$5,200–$6,500/mo</t>
        </is>
      </c>
      <c r="G3" s="4" t="inlineStr">
        <is>
          <t>$472,000</t>
        </is>
      </c>
      <c r="H3" s="7" t="n">
        <v>4</v>
      </c>
      <c r="I3" s="7" t="n">
        <v>7</v>
      </c>
      <c r="J3" s="7" t="n">
        <v>6</v>
      </c>
      <c r="K3" s="7" t="n">
        <v>7</v>
      </c>
      <c r="L3" s="7" t="n">
        <v>7</v>
      </c>
      <c r="M3" s="7" t="n">
        <v>6</v>
      </c>
      <c r="N3" s="7" t="n">
        <v>5</v>
      </c>
      <c r="O3" s="7" t="n">
        <v>7</v>
      </c>
      <c r="P3" s="7" t="n">
        <v>7</v>
      </c>
      <c r="Q3" s="7" t="n">
        <v>7</v>
      </c>
      <c r="R3" s="7" t="n">
        <v>4</v>
      </c>
      <c r="S3" s="7" t="n">
        <v>3</v>
      </c>
      <c r="T3" s="4" t="inlineStr">
        <is>
          <t>Beach / Coastal, Lakeside</t>
        </is>
      </c>
      <c r="U3" s="4" t="inlineStr">
        <is>
          <t>Historic, Quiet &amp; Residential, Arts &amp; Culture</t>
        </is>
      </c>
      <c r="V3" s="8" t="n">
        <v>10</v>
      </c>
      <c r="W3" s="8" t="n">
        <v>7</v>
      </c>
      <c r="X3" s="9" t="n">
        <v>0.37</v>
      </c>
      <c r="Y3" s="9" t="n">
        <v>3633</v>
      </c>
      <c r="Z3" s="9" t="n"/>
      <c r="AA3" s="7" t="n">
        <v>3</v>
      </c>
      <c r="AB3" s="4" t="inlineStr">
        <is>
          <t>Gulf Coast (Mobile Bay) hurricane + storm surge</t>
        </is>
      </c>
      <c r="AC3" s="18" t="n">
        <v>51</v>
      </c>
      <c r="AD3" s="18" t="n">
        <v>0</v>
      </c>
      <c r="AE3" s="18" t="n">
        <v>60</v>
      </c>
    </row>
    <row r="4" ht="15" customHeight="1" s="20">
      <c r="A4" s="7" t="n">
        <v>2</v>
      </c>
      <c r="B4" s="4" t="inlineStr">
        <is>
          <t>Fayetteville</t>
        </is>
      </c>
      <c r="C4" s="4" t="inlineStr">
        <is>
          <t>AR</t>
        </is>
      </c>
      <c r="D4" s="4" t="inlineStr">
        <is>
          <t>College / Outdoor</t>
        </is>
      </c>
      <c r="E4" s="7" t="n">
        <v>1</v>
      </c>
      <c r="F4" s="4" t="inlineStr">
        <is>
          <t>$4,900–$6,100/mo</t>
        </is>
      </c>
      <c r="G4" s="4" t="inlineStr">
        <is>
          <t>$385,000</t>
        </is>
      </c>
      <c r="H4" s="7" t="n">
        <v>6</v>
      </c>
      <c r="I4" s="7" t="n">
        <v>8</v>
      </c>
      <c r="J4" s="7" t="n">
        <v>8</v>
      </c>
      <c r="K4" s="7" t="n">
        <v>7</v>
      </c>
      <c r="L4" s="7" t="n">
        <v>6</v>
      </c>
      <c r="M4" s="7" t="n">
        <v>8</v>
      </c>
      <c r="N4" s="7" t="n">
        <v>7</v>
      </c>
      <c r="O4" s="7" t="n">
        <v>7</v>
      </c>
      <c r="P4" s="7" t="n">
        <v>8</v>
      </c>
      <c r="Q4" s="7" t="n">
        <v>5</v>
      </c>
      <c r="R4" s="7" t="n">
        <v>6</v>
      </c>
      <c r="S4" s="7" t="n">
        <v>4</v>
      </c>
      <c r="T4" s="4" t="inlineStr">
        <is>
          <t>Lakeside</t>
        </is>
      </c>
      <c r="U4" s="4" t="inlineStr">
        <is>
          <t>College Town, Arts &amp; Culture, Nature-Centric</t>
        </is>
      </c>
      <c r="V4" s="8" t="n">
        <v>7</v>
      </c>
      <c r="W4" s="8" t="n">
        <v>7</v>
      </c>
      <c r="X4" s="9" t="n">
        <v>0.5600000000000001</v>
      </c>
      <c r="Y4" s="9" t="n">
        <v>3733</v>
      </c>
      <c r="Z4" s="9" t="n"/>
      <c r="AA4" s="7" t="n">
        <v>6</v>
      </c>
      <c r="AB4" s="4" t="inlineStr">
        <is>
          <t>Ozarks; tornado/severe-storm season, no defining catastrophic peril</t>
        </is>
      </c>
      <c r="AC4" s="18" t="n">
        <v>36</v>
      </c>
      <c r="AD4" s="18" t="n">
        <v>11</v>
      </c>
      <c r="AE4" s="18" t="n">
        <v>60</v>
      </c>
    </row>
    <row r="5" ht="15" customHeight="1" s="20">
      <c r="A5" s="7" t="n">
        <v>3</v>
      </c>
      <c r="B5" s="4" t="inlineStr">
        <is>
          <t>Hot Springs</t>
        </is>
      </c>
      <c r="C5" s="4" t="inlineStr">
        <is>
          <t>AR</t>
        </is>
      </c>
      <c r="D5" s="4" t="inlineStr">
        <is>
          <t>Spa / Resort Town</t>
        </is>
      </c>
      <c r="E5" s="7" t="n">
        <v>1</v>
      </c>
      <c r="F5" s="4" t="inlineStr">
        <is>
          <t>$4,300–$5,400/mo</t>
        </is>
      </c>
      <c r="G5" s="4" t="inlineStr">
        <is>
          <t>$249,000</t>
        </is>
      </c>
      <c r="H5" s="7" t="n">
        <v>4</v>
      </c>
      <c r="I5" s="7" t="n">
        <v>9</v>
      </c>
      <c r="J5" s="7" t="n">
        <v>5</v>
      </c>
      <c r="K5" s="7" t="n">
        <v>7</v>
      </c>
      <c r="L5" s="7" t="n">
        <v>5</v>
      </c>
      <c r="M5" s="7" t="n">
        <v>6</v>
      </c>
      <c r="N5" s="7" t="n">
        <v>5</v>
      </c>
      <c r="O5" s="7" t="n">
        <v>5</v>
      </c>
      <c r="P5" s="7" t="n">
        <v>6</v>
      </c>
      <c r="Q5" s="7" t="n">
        <v>5</v>
      </c>
      <c r="R5" s="7" t="n">
        <v>8</v>
      </c>
      <c r="S5" s="7" t="n">
        <v>5</v>
      </c>
      <c r="T5" s="4" t="inlineStr">
        <is>
          <t>Lakeside, Mountain</t>
        </is>
      </c>
      <c r="U5" s="4" t="inlineStr">
        <is>
          <t>Arts &amp; Culture, Historic, Nature-Centric</t>
        </is>
      </c>
      <c r="V5" s="8" t="n">
        <v>8</v>
      </c>
      <c r="W5" s="8" t="n">
        <v>7</v>
      </c>
      <c r="X5" s="9" t="n">
        <v>0.5600000000000001</v>
      </c>
      <c r="Y5" s="9" t="n">
        <v>3733</v>
      </c>
      <c r="Z5" s="9" t="n"/>
      <c r="AA5" s="7" t="n">
        <v>6</v>
      </c>
      <c r="AB5" s="4" t="inlineStr">
        <is>
          <t>Severe storms + localized flooding; insurance stable</t>
        </is>
      </c>
      <c r="AC5" s="18" t="n">
        <v>40</v>
      </c>
      <c r="AD5" s="18" t="n">
        <v>4</v>
      </c>
      <c r="AE5" s="18" t="n">
        <v>60</v>
      </c>
    </row>
    <row r="6" ht="15" customHeight="1" s="20">
      <c r="A6" s="7" t="n">
        <v>4</v>
      </c>
      <c r="B6" s="4" t="inlineStr">
        <is>
          <t>Flagstaff</t>
        </is>
      </c>
      <c r="C6" s="4" t="inlineStr">
        <is>
          <t>AZ</t>
        </is>
      </c>
      <c r="D6" s="4" t="inlineStr">
        <is>
          <t>Mountain / University</t>
        </is>
      </c>
      <c r="E6" s="7" t="n">
        <v>3</v>
      </c>
      <c r="F6" s="4" t="inlineStr">
        <is>
          <t>$6,400–$7,900/mo</t>
        </is>
      </c>
      <c r="G6" s="4" t="inlineStr">
        <is>
          <t>$666,000</t>
        </is>
      </c>
      <c r="H6" s="7" t="n">
        <v>3</v>
      </c>
      <c r="I6" s="7" t="n">
        <v>5</v>
      </c>
      <c r="J6" s="7" t="n">
        <v>4</v>
      </c>
      <c r="K6" s="7" t="n">
        <v>8</v>
      </c>
      <c r="L6" s="7" t="n">
        <v>6</v>
      </c>
      <c r="M6" s="7" t="n">
        <v>10</v>
      </c>
      <c r="N6" s="7" t="n">
        <v>5</v>
      </c>
      <c r="O6" s="7" t="n">
        <v>5</v>
      </c>
      <c r="P6" s="7" t="n">
        <v>7</v>
      </c>
      <c r="Q6" s="7" t="n">
        <v>4</v>
      </c>
      <c r="R6" s="7" t="n">
        <v>9</v>
      </c>
      <c r="S6" s="7" t="n">
        <v>7</v>
      </c>
      <c r="T6" s="4" t="inlineStr">
        <is>
          <t>Mountain, Desert</t>
        </is>
      </c>
      <c r="U6" s="4" t="inlineStr">
        <is>
          <t>Historic, Arts &amp; Culture, Nature-Centric</t>
        </is>
      </c>
      <c r="V6" s="8" t="n">
        <v>4</v>
      </c>
      <c r="W6" s="8" t="n">
        <v>3</v>
      </c>
      <c r="X6" s="9" t="n">
        <v>0.48</v>
      </c>
      <c r="Y6" s="9" t="n">
        <v>2344</v>
      </c>
      <c r="Z6" s="9" t="n"/>
      <c r="AA6" s="7" t="n">
        <v>5</v>
      </c>
      <c r="AB6" s="4" t="inlineStr">
        <is>
          <t>High-country wildfire + post-fire flash flooding; no extreme heat</t>
        </is>
      </c>
      <c r="AC6" s="18" t="n">
        <v>30</v>
      </c>
      <c r="AD6" s="18" t="n">
        <v>90</v>
      </c>
      <c r="AE6" s="18" t="n">
        <v>74</v>
      </c>
    </row>
    <row r="7" ht="15" customHeight="1" s="20">
      <c r="A7" s="7" t="n">
        <v>5</v>
      </c>
      <c r="B7" s="4" t="inlineStr">
        <is>
          <t>Prescott</t>
        </is>
      </c>
      <c r="C7" s="4" t="inlineStr">
        <is>
          <t>AZ</t>
        </is>
      </c>
      <c r="D7" s="4" t="inlineStr">
        <is>
          <t>Mountain / Small Town</t>
        </is>
      </c>
      <c r="E7" s="7" t="n">
        <v>3</v>
      </c>
      <c r="F7" s="4" t="inlineStr">
        <is>
          <t>$6,100–$7,500/mo</t>
        </is>
      </c>
      <c r="G7" s="4" t="inlineStr">
        <is>
          <t>$607,000</t>
        </is>
      </c>
      <c r="H7" s="7" t="n">
        <v>3</v>
      </c>
      <c r="I7" s="7" t="n">
        <v>5</v>
      </c>
      <c r="J7" s="7" t="n">
        <v>5</v>
      </c>
      <c r="K7" s="7" t="n">
        <v>8</v>
      </c>
      <c r="L7" s="7" t="n">
        <v>6</v>
      </c>
      <c r="M7" s="7" t="n">
        <v>8</v>
      </c>
      <c r="N7" s="7" t="n">
        <v>7</v>
      </c>
      <c r="O7" s="7" t="n">
        <v>7</v>
      </c>
      <c r="P7" s="7" t="n">
        <v>7</v>
      </c>
      <c r="Q7" s="7" t="n">
        <v>6</v>
      </c>
      <c r="R7" s="7" t="n">
        <v>5</v>
      </c>
      <c r="S7" s="7" t="n">
        <v>9</v>
      </c>
      <c r="T7" s="4" t="inlineStr">
        <is>
          <t>Forest / Green</t>
        </is>
      </c>
      <c r="U7" s="4" t="inlineStr">
        <is>
          <t>Historic, Nature-Centric</t>
        </is>
      </c>
      <c r="V7" s="8" t="n">
        <v>3</v>
      </c>
      <c r="W7" s="8" t="n">
        <v>5</v>
      </c>
      <c r="X7" s="9" t="n">
        <v>0.48</v>
      </c>
      <c r="Y7" s="9" t="n">
        <v>2344</v>
      </c>
      <c r="Z7" s="9" t="n"/>
      <c r="AA7" s="7" t="n">
        <v>5</v>
      </c>
      <c r="AB7" s="4" t="inlineStr">
        <is>
          <t>Wildfire-prone (Yarnell), milder heat than the valley</t>
        </is>
      </c>
      <c r="AC7" s="18" t="n">
        <v>38</v>
      </c>
      <c r="AD7" s="18" t="n">
        <v>20</v>
      </c>
      <c r="AE7" s="18" t="n">
        <v>76</v>
      </c>
    </row>
    <row r="8" ht="15" customHeight="1" s="20">
      <c r="A8" s="7" t="n">
        <v>6</v>
      </c>
      <c r="B8" s="4" t="inlineStr">
        <is>
          <t>Scottsdale</t>
        </is>
      </c>
      <c r="C8" s="4" t="inlineStr">
        <is>
          <t>AZ</t>
        </is>
      </c>
      <c r="D8" s="4" t="inlineStr">
        <is>
          <t>Desert / Resort</t>
        </is>
      </c>
      <c r="E8" s="7" t="n">
        <v>4</v>
      </c>
      <c r="F8" s="4" t="inlineStr">
        <is>
          <t>$7,500–$9,300/mo</t>
        </is>
      </c>
      <c r="G8" s="4" t="inlineStr">
        <is>
          <t>$858,000</t>
        </is>
      </c>
      <c r="H8" s="7" t="n">
        <v>9</v>
      </c>
      <c r="I8" s="7" t="n">
        <v>4</v>
      </c>
      <c r="J8" s="7" t="n">
        <v>10</v>
      </c>
      <c r="K8" s="7" t="n">
        <v>8</v>
      </c>
      <c r="L8" s="7" t="n">
        <v>4</v>
      </c>
      <c r="M8" s="7" t="n">
        <v>8</v>
      </c>
      <c r="N8" s="7" t="n">
        <v>10</v>
      </c>
      <c r="O8" s="7" t="n">
        <v>6</v>
      </c>
      <c r="P8" s="7" t="n">
        <v>8</v>
      </c>
      <c r="Q8" s="7" t="n">
        <v>8</v>
      </c>
      <c r="R8" s="7" t="n">
        <v>1</v>
      </c>
      <c r="S8" s="7" t="n">
        <v>10</v>
      </c>
      <c r="T8" s="4" t="inlineStr">
        <is>
          <t>Desert</t>
        </is>
      </c>
      <c r="U8" s="4" t="inlineStr">
        <is>
          <t>Resort / Golf, Quiet &amp; Residential</t>
        </is>
      </c>
      <c r="V8" s="8" t="n">
        <v>1</v>
      </c>
      <c r="W8" s="8" t="n">
        <v>10</v>
      </c>
      <c r="X8" s="9" t="n">
        <v>0.48</v>
      </c>
      <c r="Y8" s="9" t="n">
        <v>2344</v>
      </c>
      <c r="Z8" s="9" t="n"/>
      <c r="AA8" s="7" t="n">
        <v>4</v>
      </c>
      <c r="AB8" s="4" t="inlineStr">
        <is>
          <t>Extreme summer heat + long-term Colorado River water scarcity</t>
        </is>
      </c>
      <c r="AC8" s="18" t="n">
        <v>55</v>
      </c>
      <c r="AD8" s="18" t="n">
        <v>0</v>
      </c>
      <c r="AE8" s="18" t="n">
        <v>85</v>
      </c>
    </row>
    <row r="9" ht="15" customHeight="1" s="20">
      <c r="A9" s="7" t="n">
        <v>7</v>
      </c>
      <c r="B9" s="4" t="inlineStr">
        <is>
          <t>Sedona</t>
        </is>
      </c>
      <c r="C9" s="4" t="inlineStr">
        <is>
          <t>AZ</t>
        </is>
      </c>
      <c r="D9" s="4" t="inlineStr">
        <is>
          <t>Desert / Arts &amp; Wellness Retreat</t>
        </is>
      </c>
      <c r="E9" s="7" t="n">
        <v>4</v>
      </c>
      <c r="F9" s="4" t="inlineStr">
        <is>
          <t>$7,700–$9,600/mo</t>
        </is>
      </c>
      <c r="G9" s="4" t="inlineStr">
        <is>
          <t>$911,000</t>
        </is>
      </c>
      <c r="H9" s="7" t="n">
        <v>3</v>
      </c>
      <c r="I9" s="7" t="n">
        <v>3</v>
      </c>
      <c r="J9" s="7" t="n">
        <v>4</v>
      </c>
      <c r="K9" s="7" t="n">
        <v>8</v>
      </c>
      <c r="L9" s="7" t="n">
        <v>4</v>
      </c>
      <c r="M9" s="7" t="n">
        <v>9</v>
      </c>
      <c r="N9" s="7" t="n">
        <v>6</v>
      </c>
      <c r="O9" s="7" t="n">
        <v>8</v>
      </c>
      <c r="P9" s="7" t="n">
        <v>7</v>
      </c>
      <c r="Q9" s="7" t="n">
        <v>5</v>
      </c>
      <c r="R9" s="7" t="n">
        <v>3</v>
      </c>
      <c r="S9" s="7" t="n">
        <v>8</v>
      </c>
      <c r="T9" s="4" t="inlineStr">
        <is>
          <t>Mountain, Desert</t>
        </is>
      </c>
      <c r="U9" s="4" t="inlineStr">
        <is>
          <t>Resort / Golf, Quiet &amp; Residential, Arts &amp; Culture, Nature-Centric</t>
        </is>
      </c>
      <c r="V9" s="8" t="n">
        <v>2</v>
      </c>
      <c r="W9" s="8" t="n">
        <v>8</v>
      </c>
      <c r="X9" s="9" t="n">
        <v>0.48</v>
      </c>
      <c r="Y9" s="9" t="n">
        <v>2344</v>
      </c>
      <c r="Z9" s="9" t="n"/>
      <c r="AA9" s="7" t="n">
        <v>4</v>
      </c>
      <c r="AB9" s="4" t="inlineStr">
        <is>
          <t>Wildfire + flash flooding + heat</t>
        </is>
      </c>
      <c r="AC9" s="18" t="n">
        <v>41</v>
      </c>
      <c r="AD9" s="18" t="n">
        <v>8</v>
      </c>
      <c r="AE9" s="18" t="n">
        <v>76</v>
      </c>
    </row>
    <row r="10" ht="15" customHeight="1" s="20">
      <c r="A10" s="7" t="n">
        <v>8</v>
      </c>
      <c r="B10" s="4" t="inlineStr">
        <is>
          <t>Tucson</t>
        </is>
      </c>
      <c r="C10" s="4" t="inlineStr">
        <is>
          <t>AZ</t>
        </is>
      </c>
      <c r="D10" s="4" t="inlineStr">
        <is>
          <t>Desert / University</t>
        </is>
      </c>
      <c r="E10" s="7" t="n">
        <v>1</v>
      </c>
      <c r="F10" s="4" t="inlineStr">
        <is>
          <t>$4,800–$6,000/mo</t>
        </is>
      </c>
      <c r="G10" s="4" t="inlineStr">
        <is>
          <t>$326,000</t>
        </is>
      </c>
      <c r="H10" s="7" t="n">
        <v>6</v>
      </c>
      <c r="I10" s="7" t="n">
        <v>8</v>
      </c>
      <c r="J10" s="7" t="n">
        <v>8</v>
      </c>
      <c r="K10" s="7" t="n">
        <v>8</v>
      </c>
      <c r="L10" s="7" t="n">
        <v>4</v>
      </c>
      <c r="M10" s="7" t="n">
        <v>9</v>
      </c>
      <c r="N10" s="7" t="n">
        <v>7</v>
      </c>
      <c r="O10" s="7" t="n">
        <v>5</v>
      </c>
      <c r="P10" s="7" t="n">
        <v>8</v>
      </c>
      <c r="Q10" s="7" t="n">
        <v>8</v>
      </c>
      <c r="R10" s="7" t="n">
        <v>2</v>
      </c>
      <c r="S10" s="7" t="n">
        <v>9</v>
      </c>
      <c r="T10" s="4" t="inlineStr">
        <is>
          <t>Mountain, Desert</t>
        </is>
      </c>
      <c r="U10" s="4" t="inlineStr">
        <is>
          <t>Historic, College Town, Arts &amp; Culture</t>
        </is>
      </c>
      <c r="V10" s="8" t="n">
        <v>2</v>
      </c>
      <c r="W10" s="8" t="n">
        <v>9</v>
      </c>
      <c r="X10" s="9" t="n">
        <v>0.48</v>
      </c>
      <c r="Y10" s="9" t="n">
        <v>2344</v>
      </c>
      <c r="Z10" s="9" t="n"/>
      <c r="AA10" s="7" t="n">
        <v>4</v>
      </c>
      <c r="AB10" s="4" t="inlineStr">
        <is>
          <t>Extreme heat + water scarcity</t>
        </is>
      </c>
      <c r="AC10" s="18" t="n">
        <v>52</v>
      </c>
      <c r="AD10" s="18" t="n">
        <v>1</v>
      </c>
      <c r="AE10" s="18" t="n">
        <v>85</v>
      </c>
    </row>
    <row r="11" ht="15" customHeight="1" s="20">
      <c r="A11" s="7" t="n">
        <v>9</v>
      </c>
      <c r="B11" s="4" t="inlineStr">
        <is>
          <t>Carlsbad</t>
        </is>
      </c>
      <c r="C11" s="4" t="inlineStr">
        <is>
          <t>CA</t>
        </is>
      </c>
      <c r="D11" s="4" t="inlineStr">
        <is>
          <t>Beach Town</t>
        </is>
      </c>
      <c r="E11" s="7" t="n">
        <v>5</v>
      </c>
      <c r="F11" s="4" t="inlineStr">
        <is>
          <t>$10,400–$13,000/mo</t>
        </is>
      </c>
      <c r="G11" s="4" t="inlineStr">
        <is>
          <t>$1,388,000</t>
        </is>
      </c>
      <c r="H11" s="7" t="n">
        <v>6</v>
      </c>
      <c r="I11" s="7" t="n">
        <v>1</v>
      </c>
      <c r="J11" s="7" t="n">
        <v>9</v>
      </c>
      <c r="K11" s="7" t="n">
        <v>2</v>
      </c>
      <c r="L11" s="7" t="n">
        <v>5</v>
      </c>
      <c r="M11" s="7" t="n">
        <v>8</v>
      </c>
      <c r="N11" s="7" t="n">
        <v>7</v>
      </c>
      <c r="O11" s="7" t="n">
        <v>6</v>
      </c>
      <c r="P11" s="7" t="n">
        <v>7</v>
      </c>
      <c r="Q11" s="7" t="n">
        <v>9</v>
      </c>
      <c r="R11" s="7" t="n">
        <v>10</v>
      </c>
      <c r="S11" s="7" t="n">
        <v>9</v>
      </c>
      <c r="T11" s="4" t="inlineStr">
        <is>
          <t>Beach / Coastal</t>
        </is>
      </c>
      <c r="U11" s="4" t="inlineStr">
        <is>
          <t>Quiet &amp; Residential</t>
        </is>
      </c>
      <c r="V11" s="8" t="n">
        <v>5</v>
      </c>
      <c r="W11" s="8" t="n">
        <v>2</v>
      </c>
      <c r="X11" s="9" t="n">
        <v>0.7</v>
      </c>
      <c r="Y11" s="9" t="n">
        <v>1616</v>
      </c>
      <c r="Z11" s="10" t="inlineStr">
        <is>
          <t>Wildfire zones above avg; Prop 13 favors long-term owners</t>
        </is>
      </c>
      <c r="AA11" s="7" t="n">
        <v>5</v>
      </c>
      <c r="AB11" s="4" t="inlineStr">
        <is>
          <t>Coastal San Diego, lower fire, but statewide CA insurance stress</t>
        </is>
      </c>
      <c r="AC11" s="18" t="n">
        <v>55</v>
      </c>
      <c r="AD11" s="18" t="n">
        <v>0</v>
      </c>
      <c r="AE11" s="18" t="n">
        <v>68</v>
      </c>
    </row>
    <row r="12" ht="15" customHeight="1" s="20">
      <c r="A12" s="7" t="n">
        <v>10</v>
      </c>
      <c r="B12" s="4" t="inlineStr">
        <is>
          <t>Carmel-by-the-Sea</t>
        </is>
      </c>
      <c r="C12" s="4" t="inlineStr">
        <is>
          <t>CA</t>
        </is>
      </c>
      <c r="D12" s="4" t="inlineStr">
        <is>
          <t>Coastal Luxury</t>
        </is>
      </c>
      <c r="E12" s="7" t="n">
        <v>5</v>
      </c>
      <c r="F12" s="4" t="inlineStr">
        <is>
          <t>$15,700–$19,600/mo</t>
        </is>
      </c>
      <c r="G12" s="4" t="inlineStr">
        <is>
          <t>$2,464,000</t>
        </is>
      </c>
      <c r="H12" s="7" t="n">
        <v>6</v>
      </c>
      <c r="I12" s="7" t="n">
        <v>1</v>
      </c>
      <c r="J12" s="7" t="n">
        <v>6</v>
      </c>
      <c r="K12" s="7" t="n">
        <v>2</v>
      </c>
      <c r="L12" s="7" t="n">
        <v>8</v>
      </c>
      <c r="M12" s="7" t="n">
        <v>8</v>
      </c>
      <c r="N12" s="7" t="n">
        <v>6</v>
      </c>
      <c r="O12" s="7" t="n">
        <v>9</v>
      </c>
      <c r="P12" s="7" t="n">
        <v>8</v>
      </c>
      <c r="Q12" s="7" t="n">
        <v>8</v>
      </c>
      <c r="R12" s="7" t="n">
        <v>6</v>
      </c>
      <c r="S12" s="7" t="n">
        <v>9</v>
      </c>
      <c r="T12" s="4" t="inlineStr">
        <is>
          <t>Beach / Coastal</t>
        </is>
      </c>
      <c r="U12" s="4" t="inlineStr">
        <is>
          <t>Arts &amp; Culture, Nature-Centric</t>
        </is>
      </c>
      <c r="V12" s="8" t="n">
        <v>5</v>
      </c>
      <c r="W12" s="8" t="n">
        <v>2</v>
      </c>
      <c r="X12" s="9" t="n">
        <v>0.7</v>
      </c>
      <c r="Y12" s="9" t="n">
        <v>1616</v>
      </c>
      <c r="Z12" s="10" t="inlineStr">
        <is>
          <t>Wildfire zones above avg; Prop 13 favors long-term owners</t>
        </is>
      </c>
      <c r="AA12" s="7" t="n">
        <v>4</v>
      </c>
      <c r="AB12" s="4" t="inlineStr">
        <is>
          <t>Big Sur fire-adjacent + CA insurance non-renewal crisis</t>
        </is>
      </c>
      <c r="AC12" s="18" t="n">
        <v>51</v>
      </c>
      <c r="AD12" s="18" t="n">
        <v>0</v>
      </c>
      <c r="AE12" s="18" t="n">
        <v>68</v>
      </c>
    </row>
    <row r="13" ht="15" customHeight="1" s="20">
      <c r="A13" s="7" t="n">
        <v>11</v>
      </c>
      <c r="B13" s="4" t="inlineStr">
        <is>
          <t>Napa</t>
        </is>
      </c>
      <c r="C13" s="4" t="inlineStr">
        <is>
          <t>CA</t>
        </is>
      </c>
      <c r="D13" s="4" t="inlineStr">
        <is>
          <t>Wine Country</t>
        </is>
      </c>
      <c r="E13" s="7" t="n">
        <v>4</v>
      </c>
      <c r="F13" s="4" t="inlineStr">
        <is>
          <t>$7,800–$9,800/mo</t>
        </is>
      </c>
      <c r="G13" s="4" t="inlineStr">
        <is>
          <t>$877,000</t>
        </is>
      </c>
      <c r="H13" s="7" t="n">
        <v>6</v>
      </c>
      <c r="I13" s="7" t="n">
        <v>3</v>
      </c>
      <c r="J13" s="7" t="n">
        <v>6</v>
      </c>
      <c r="K13" s="7" t="n">
        <v>2</v>
      </c>
      <c r="L13" s="7" t="n">
        <v>6</v>
      </c>
      <c r="M13" s="7" t="n">
        <v>6</v>
      </c>
      <c r="N13" s="7" t="n">
        <v>6</v>
      </c>
      <c r="O13" s="7" t="n">
        <v>7</v>
      </c>
      <c r="P13" s="7" t="n">
        <v>8</v>
      </c>
      <c r="Q13" s="7" t="n">
        <v>7</v>
      </c>
      <c r="R13" s="7" t="n">
        <v>6</v>
      </c>
      <c r="S13" s="7" t="n">
        <v>8</v>
      </c>
      <c r="T13" s="4" t="inlineStr">
        <is>
          <t>Forest / Green</t>
        </is>
      </c>
      <c r="U13" s="4" t="inlineStr">
        <is>
          <t>Arts &amp; Culture, Nature-Centric</t>
        </is>
      </c>
      <c r="V13" s="8" t="n">
        <v>4</v>
      </c>
      <c r="W13" s="8" t="n">
        <v>6</v>
      </c>
      <c r="X13" s="9" t="n">
        <v>0.7</v>
      </c>
      <c r="Y13" s="9" t="n">
        <v>1616</v>
      </c>
      <c r="Z13" s="10" t="inlineStr">
        <is>
          <t>Wildfire zones above avg; Prop 13 favors long-term owners</t>
        </is>
      </c>
      <c r="AA13" s="7" t="n">
        <v>3</v>
      </c>
      <c r="AB13" s="4" t="inlineStr">
        <is>
          <t>Severe wildfire history + insurance non-renewal crisis</t>
        </is>
      </c>
      <c r="AC13" s="18" t="n">
        <v>48</v>
      </c>
      <c r="AD13" s="18" t="n">
        <v>0</v>
      </c>
      <c r="AE13" s="18" t="n">
        <v>72</v>
      </c>
    </row>
    <row r="14" ht="15" customHeight="1" s="20">
      <c r="A14" s="7" t="n">
        <v>12</v>
      </c>
      <c r="B14" s="4" t="inlineStr">
        <is>
          <t>Palm Springs</t>
        </is>
      </c>
      <c r="C14" s="4" t="inlineStr">
        <is>
          <t>CA</t>
        </is>
      </c>
      <c r="D14" s="4" t="inlineStr">
        <is>
          <t>Desert / Resort</t>
        </is>
      </c>
      <c r="E14" s="7" t="n">
        <v>3</v>
      </c>
      <c r="F14" s="4" t="inlineStr">
        <is>
          <t>$6,600–$8,200/mo</t>
        </is>
      </c>
      <c r="G14" s="4" t="inlineStr">
        <is>
          <t>$620,000</t>
        </is>
      </c>
      <c r="H14" s="7" t="n">
        <v>6</v>
      </c>
      <c r="I14" s="7" t="n">
        <v>5</v>
      </c>
      <c r="J14" s="7" t="n">
        <v>4</v>
      </c>
      <c r="K14" s="7" t="n">
        <v>2</v>
      </c>
      <c r="L14" s="7" t="n">
        <v>5</v>
      </c>
      <c r="M14" s="7" t="n">
        <v>8</v>
      </c>
      <c r="N14" s="7" t="n">
        <v>9</v>
      </c>
      <c r="O14" s="7" t="n">
        <v>4</v>
      </c>
      <c r="P14" s="7" t="n">
        <v>8</v>
      </c>
      <c r="Q14" s="7" t="n">
        <v>9</v>
      </c>
      <c r="R14" s="7" t="n">
        <v>1</v>
      </c>
      <c r="S14" s="7" t="n">
        <v>10</v>
      </c>
      <c r="T14" s="4" t="inlineStr">
        <is>
          <t>Desert</t>
        </is>
      </c>
      <c r="U14" s="4" t="inlineStr">
        <is>
          <t>Resort / Golf, Urban Neighborhood</t>
        </is>
      </c>
      <c r="V14" s="8" t="n">
        <v>1</v>
      </c>
      <c r="W14" s="8" t="n">
        <v>10</v>
      </c>
      <c r="X14" s="9" t="n">
        <v>0.7</v>
      </c>
      <c r="Y14" s="9" t="n">
        <v>1616</v>
      </c>
      <c r="Z14" s="10" t="inlineStr">
        <is>
          <t>Wildfire zones above avg; Prop 13 favors long-term owners</t>
        </is>
      </c>
      <c r="AA14" s="7" t="n">
        <v>4</v>
      </c>
      <c r="AB14" s="4" t="inlineStr">
        <is>
          <t>Extreme heat + some fire + CA insurance stress</t>
        </is>
      </c>
      <c r="AC14" s="18" t="n">
        <v>57</v>
      </c>
      <c r="AD14" s="18" t="n">
        <v>0</v>
      </c>
      <c r="AE14" s="18" t="n">
        <v>87</v>
      </c>
    </row>
    <row r="15" ht="15" customHeight="1" s="20">
      <c r="A15" s="7" t="n">
        <v>13</v>
      </c>
      <c r="B15" s="4" t="inlineStr">
        <is>
          <t>Santa Barbara</t>
        </is>
      </c>
      <c r="C15" s="4" t="inlineStr">
        <is>
          <t>CA</t>
        </is>
      </c>
      <c r="D15" s="4" t="inlineStr">
        <is>
          <t>Beach / Luxury</t>
        </is>
      </c>
      <c r="E15" s="7" t="n">
        <v>5</v>
      </c>
      <c r="F15" s="4" t="inlineStr">
        <is>
          <t>$12,500–$15,500/mo</t>
        </is>
      </c>
      <c r="G15" s="4" t="inlineStr">
        <is>
          <t>$1,835,000</t>
        </is>
      </c>
      <c r="H15" s="7" t="n">
        <v>7</v>
      </c>
      <c r="I15" s="7" t="n">
        <v>1</v>
      </c>
      <c r="J15" s="7" t="n">
        <v>7</v>
      </c>
      <c r="K15" s="7" t="n">
        <v>2</v>
      </c>
      <c r="L15" s="7" t="n">
        <v>8</v>
      </c>
      <c r="M15" s="7" t="n">
        <v>9</v>
      </c>
      <c r="N15" s="7" t="n">
        <v>7</v>
      </c>
      <c r="O15" s="7" t="n">
        <v>7</v>
      </c>
      <c r="P15" s="7" t="n">
        <v>9</v>
      </c>
      <c r="Q15" s="7" t="n">
        <v>9</v>
      </c>
      <c r="R15" s="7" t="n">
        <v>10</v>
      </c>
      <c r="S15" s="7" t="n">
        <v>9</v>
      </c>
      <c r="T15" s="4" t="inlineStr">
        <is>
          <t>Beach / Coastal</t>
        </is>
      </c>
      <c r="U15" s="4" t="inlineStr">
        <is>
          <t>Historic, Arts &amp; Culture, Nature-Centric</t>
        </is>
      </c>
      <c r="V15" s="8" t="n">
        <v>5</v>
      </c>
      <c r="W15" s="8" t="n">
        <v>3</v>
      </c>
      <c r="X15" s="9" t="n">
        <v>0.7</v>
      </c>
      <c r="Y15" s="9" t="n">
        <v>1616</v>
      </c>
      <c r="Z15" s="10" t="inlineStr">
        <is>
          <t>Wildfire zones above avg; Prop 13 favors long-term owners</t>
        </is>
      </c>
      <c r="AA15" s="7" t="n">
        <v>3</v>
      </c>
      <c r="AB15" s="4" t="inlineStr">
        <is>
          <t>Wildfire (Thomas Fire) + debris-flow risk + CA insurance crisis</t>
        </is>
      </c>
      <c r="AC15" s="18" t="n">
        <v>53</v>
      </c>
      <c r="AD15" s="18" t="n">
        <v>0</v>
      </c>
      <c r="AE15" s="18" t="n">
        <v>73</v>
      </c>
    </row>
    <row r="16" ht="15" customHeight="1" s="20">
      <c r="A16" s="7" t="n">
        <v>14</v>
      </c>
      <c r="B16" s="4" t="inlineStr">
        <is>
          <t>Colorado Springs</t>
        </is>
      </c>
      <c r="C16" s="4" t="inlineStr">
        <is>
          <t>CO</t>
        </is>
      </c>
      <c r="D16" s="4" t="inlineStr">
        <is>
          <t>Mountain / Military</t>
        </is>
      </c>
      <c r="E16" s="7" t="n">
        <v>2</v>
      </c>
      <c r="F16" s="4" t="inlineStr">
        <is>
          <t>$5,700–$7,000/mo</t>
        </is>
      </c>
      <c r="G16" s="4" t="inlineStr">
        <is>
          <t>$450,000</t>
        </is>
      </c>
      <c r="H16" s="7" t="n">
        <v>6</v>
      </c>
      <c r="I16" s="7" t="n">
        <v>6</v>
      </c>
      <c r="J16" s="7" t="n">
        <v>8</v>
      </c>
      <c r="K16" s="7" t="n">
        <v>7</v>
      </c>
      <c r="L16" s="7" t="n">
        <v>4</v>
      </c>
      <c r="M16" s="7" t="n">
        <v>9</v>
      </c>
      <c r="N16" s="7" t="n">
        <v>7</v>
      </c>
      <c r="O16" s="7" t="n">
        <v>4</v>
      </c>
      <c r="P16" s="7" t="n">
        <v>8</v>
      </c>
      <c r="Q16" s="7" t="n">
        <v>4</v>
      </c>
      <c r="R16" s="7" t="n">
        <v>8</v>
      </c>
      <c r="S16" s="7" t="n">
        <v>8</v>
      </c>
      <c r="T16" s="4" t="inlineStr">
        <is>
          <t>Mountain</t>
        </is>
      </c>
      <c r="U16" s="4" t="inlineStr">
        <is>
          <t>Historic, Nature-Centric</t>
        </is>
      </c>
      <c r="V16" s="8" t="n">
        <v>3</v>
      </c>
      <c r="W16" s="8" t="n">
        <v>4</v>
      </c>
      <c r="X16" s="9" t="n">
        <v>0.5</v>
      </c>
      <c r="Y16" s="9" t="n">
        <v>4963</v>
      </c>
      <c r="Z16" s="10" t="inlineStr">
        <is>
          <t>Wildfire/foothill zones above avg</t>
        </is>
      </c>
      <c r="AA16" s="7" t="n">
        <v>5</v>
      </c>
      <c r="AB16" s="4" t="inlineStr">
        <is>
          <t>Wildfire (Waldo/Black Forest) + nation-leading hail; insurance available</t>
        </is>
      </c>
      <c r="AC16" s="18" t="n">
        <v>32</v>
      </c>
      <c r="AD16" s="18" t="n">
        <v>40</v>
      </c>
      <c r="AE16" s="18" t="n">
        <v>70</v>
      </c>
    </row>
    <row r="17" ht="15" customHeight="1" s="20">
      <c r="A17" s="7" t="n">
        <v>15</v>
      </c>
      <c r="B17" s="4" t="inlineStr">
        <is>
          <t>Durango</t>
        </is>
      </c>
      <c r="C17" s="4" t="inlineStr">
        <is>
          <t>CO</t>
        </is>
      </c>
      <c r="D17" s="4" t="inlineStr">
        <is>
          <t>Mountain / Historic Railroad Town</t>
        </is>
      </c>
      <c r="E17" s="7" t="n">
        <v>4</v>
      </c>
      <c r="F17" s="4" t="inlineStr">
        <is>
          <t>$7,300–$9,100/mo</t>
        </is>
      </c>
      <c r="G17" s="4" t="inlineStr">
        <is>
          <t>$768,000</t>
        </is>
      </c>
      <c r="H17" s="7" t="n">
        <v>3</v>
      </c>
      <c r="I17" s="7" t="n">
        <v>4</v>
      </c>
      <c r="J17" s="7" t="n">
        <v>5</v>
      </c>
      <c r="K17" s="7" t="n">
        <v>7</v>
      </c>
      <c r="L17" s="7" t="n">
        <v>4</v>
      </c>
      <c r="M17" s="7" t="n">
        <v>9</v>
      </c>
      <c r="N17" s="7" t="n">
        <v>7</v>
      </c>
      <c r="O17" s="7" t="n">
        <v>6</v>
      </c>
      <c r="P17" s="7" t="n">
        <v>8</v>
      </c>
      <c r="Q17" s="7" t="n">
        <v>3</v>
      </c>
      <c r="R17" s="7" t="n">
        <v>7</v>
      </c>
      <c r="S17" s="7" t="n">
        <v>9</v>
      </c>
      <c r="T17" s="4" t="inlineStr">
        <is>
          <t>Mountain</t>
        </is>
      </c>
      <c r="U17" s="4" t="inlineStr">
        <is>
          <t>Historic, College Town, Quiet &amp; Residential, Arts &amp; Culture, Nature-Centric</t>
        </is>
      </c>
      <c r="V17" s="8" t="n">
        <v>4</v>
      </c>
      <c r="W17" s="8" t="n">
        <v>4</v>
      </c>
      <c r="X17" s="9" t="n">
        <v>0.5</v>
      </c>
      <c r="Y17" s="9" t="n">
        <v>4963</v>
      </c>
      <c r="Z17" s="10" t="inlineStr">
        <is>
          <t>Wildfire/foothill zones above avg</t>
        </is>
      </c>
      <c r="AA17" s="7" t="n">
        <v>5</v>
      </c>
      <c r="AB17" s="4" t="inlineStr">
        <is>
          <t>SW Colorado wildfire + drought</t>
        </is>
      </c>
      <c r="AC17" s="18" t="n">
        <v>26</v>
      </c>
      <c r="AD17" s="18" t="n">
        <v>68</v>
      </c>
      <c r="AE17" s="18" t="n">
        <v>68</v>
      </c>
    </row>
    <row r="18" ht="15" customHeight="1" s="20">
      <c r="A18" s="7" t="n">
        <v>16</v>
      </c>
      <c r="B18" s="4" t="inlineStr">
        <is>
          <t>Fort Collins</t>
        </is>
      </c>
      <c r="C18" s="4" t="inlineStr">
        <is>
          <t>CO</t>
        </is>
      </c>
      <c r="D18" s="4" t="inlineStr">
        <is>
          <t>College Town / Outdoor</t>
        </is>
      </c>
      <c r="E18" s="7" t="n">
        <v>3</v>
      </c>
      <c r="F18" s="4" t="inlineStr">
        <is>
          <t>$6,200–$7,800/mo</t>
        </is>
      </c>
      <c r="G18" s="4" t="inlineStr">
        <is>
          <t>$569,000</t>
        </is>
      </c>
      <c r="H18" s="7" t="n">
        <v>6</v>
      </c>
      <c r="I18" s="7" t="n">
        <v>5</v>
      </c>
      <c r="J18" s="7" t="n">
        <v>7</v>
      </c>
      <c r="K18" s="7" t="n">
        <v>7</v>
      </c>
      <c r="L18" s="7" t="n">
        <v>5</v>
      </c>
      <c r="M18" s="7" t="n">
        <v>9</v>
      </c>
      <c r="N18" s="7" t="n">
        <v>8</v>
      </c>
      <c r="O18" s="7" t="n">
        <v>8</v>
      </c>
      <c r="P18" s="7" t="n">
        <v>8</v>
      </c>
      <c r="Q18" s="7" t="n">
        <v>5</v>
      </c>
      <c r="R18" s="7" t="n">
        <v>5</v>
      </c>
      <c r="S18" s="7" t="n">
        <v>7</v>
      </c>
      <c r="T18" s="4" t="inlineStr">
        <is>
          <t>Forest / Green, Mountain</t>
        </is>
      </c>
      <c r="U18" s="4" t="inlineStr">
        <is>
          <t>College Town, Arts &amp; Culture, Nature-Centric</t>
        </is>
      </c>
      <c r="V18" s="8" t="n">
        <v>3</v>
      </c>
      <c r="W18" s="8" t="n">
        <v>5</v>
      </c>
      <c r="X18" s="9" t="n">
        <v>0.5</v>
      </c>
      <c r="Y18" s="9" t="n">
        <v>4963</v>
      </c>
      <c r="Z18" s="10" t="inlineStr">
        <is>
          <t>Wildfire/foothill zones above avg</t>
        </is>
      </c>
      <c r="AA18" s="7" t="n">
        <v>5</v>
      </c>
      <c r="AB18" s="4" t="inlineStr">
        <is>
          <t>Wildfire (Cameron Peak) + hail</t>
        </is>
      </c>
      <c r="AC18" s="18" t="n">
        <v>30</v>
      </c>
      <c r="AD18" s="18" t="n">
        <v>50</v>
      </c>
      <c r="AE18" s="18" t="n">
        <v>70</v>
      </c>
    </row>
    <row r="19" ht="15" customHeight="1" s="20">
      <c r="A19" s="7" t="n">
        <v>17</v>
      </c>
      <c r="B19" s="4" t="inlineStr">
        <is>
          <t>Grand Junction</t>
        </is>
      </c>
      <c r="C19" s="4" t="inlineStr">
        <is>
          <t>CO</t>
        </is>
      </c>
      <c r="D19" s="4" t="inlineStr">
        <is>
          <t>Desert / Wine Country</t>
        </is>
      </c>
      <c r="E19" s="7" t="n">
        <v>2</v>
      </c>
      <c r="F19" s="4" t="inlineStr">
        <is>
          <t>$5,600–$7,000/mo</t>
        </is>
      </c>
      <c r="G19" s="4" t="inlineStr">
        <is>
          <t>$429,000</t>
        </is>
      </c>
      <c r="H19" s="7" t="n">
        <v>6</v>
      </c>
      <c r="I19" s="7" t="n">
        <v>6</v>
      </c>
      <c r="J19" s="7" t="n">
        <v>6</v>
      </c>
      <c r="K19" s="7" t="n">
        <v>7</v>
      </c>
      <c r="L19" s="7" t="n">
        <v>5</v>
      </c>
      <c r="M19" s="7" t="n">
        <v>7</v>
      </c>
      <c r="N19" s="7" t="n">
        <v>6</v>
      </c>
      <c r="O19" s="7" t="n">
        <v>7</v>
      </c>
      <c r="P19" s="7" t="n">
        <v>6</v>
      </c>
      <c r="Q19" s="7" t="n">
        <v>3</v>
      </c>
      <c r="R19" s="7" t="n">
        <v>7</v>
      </c>
      <c r="S19" s="7" t="n">
        <v>6</v>
      </c>
      <c r="T19" s="4" t="inlineStr">
        <is>
          <t>Mountain, Desert</t>
        </is>
      </c>
      <c r="U19" s="4" t="inlineStr">
        <is>
          <t>Nature-Centric, Arts &amp; Culture</t>
        </is>
      </c>
      <c r="V19" s="8" t="n">
        <v>3</v>
      </c>
      <c r="W19" s="8" t="n">
        <v>7</v>
      </c>
      <c r="X19" s="9" t="n">
        <v>0.5</v>
      </c>
      <c r="Y19" s="9" t="n">
        <v>4963</v>
      </c>
      <c r="Z19" s="10" t="inlineStr">
        <is>
          <t>Wildfire/foothill zones above avg</t>
        </is>
      </c>
      <c r="AA19" s="7" t="n">
        <v>6</v>
      </c>
      <c r="AB19" s="4" t="inlineStr">
        <is>
          <t>High desert; lower fire, some drought/heat</t>
        </is>
      </c>
      <c r="AC19" s="18" t="n">
        <v>29</v>
      </c>
      <c r="AD19" s="18" t="n">
        <v>18</v>
      </c>
      <c r="AE19" s="18" t="n">
        <v>70</v>
      </c>
    </row>
    <row r="20" ht="15" customHeight="1" s="20">
      <c r="A20" s="7" t="n">
        <v>18</v>
      </c>
      <c r="B20" s="4" t="inlineStr">
        <is>
          <t>Steamboat Springs</t>
        </is>
      </c>
      <c r="C20" s="4" t="inlineStr">
        <is>
          <t>CO</t>
        </is>
      </c>
      <c r="D20" s="4" t="inlineStr">
        <is>
          <t>Mountain Resort</t>
        </is>
      </c>
      <c r="E20" s="7" t="n">
        <v>5</v>
      </c>
      <c r="F20" s="4" t="inlineStr">
        <is>
          <t>$10,100–$12,500/mo</t>
        </is>
      </c>
      <c r="G20" s="4" t="inlineStr">
        <is>
          <t>$1,336,000</t>
        </is>
      </c>
      <c r="H20" s="7" t="n">
        <v>5</v>
      </c>
      <c r="I20" s="7" t="n">
        <v>2</v>
      </c>
      <c r="J20" s="7" t="n">
        <v>5</v>
      </c>
      <c r="K20" s="7" t="n">
        <v>7</v>
      </c>
      <c r="L20" s="7" t="n">
        <v>5</v>
      </c>
      <c r="M20" s="7" t="n">
        <v>9</v>
      </c>
      <c r="N20" s="7" t="n">
        <v>6</v>
      </c>
      <c r="O20" s="7" t="n">
        <v>8</v>
      </c>
      <c r="P20" s="7" t="n">
        <v>7</v>
      </c>
      <c r="Q20" s="7" t="n">
        <v>2</v>
      </c>
      <c r="R20" s="7" t="n">
        <v>5</v>
      </c>
      <c r="S20" s="7" t="n">
        <v>4</v>
      </c>
      <c r="T20" s="4" t="inlineStr">
        <is>
          <t>Mountain</t>
        </is>
      </c>
      <c r="U20" s="4" t="inlineStr">
        <is>
          <t>Nature-Centric, Arts &amp; Culture</t>
        </is>
      </c>
      <c r="V20" s="8" t="n">
        <v>3</v>
      </c>
      <c r="W20" s="8" t="n">
        <v>3</v>
      </c>
      <c r="X20" s="9" t="n">
        <v>0.5</v>
      </c>
      <c r="Y20" s="9" t="n">
        <v>4963</v>
      </c>
      <c r="Z20" s="10" t="inlineStr">
        <is>
          <t>Wildfire/foothill zones above avg</t>
        </is>
      </c>
      <c r="AA20" s="7" t="n">
        <v>5</v>
      </c>
      <c r="AB20" s="4" t="inlineStr">
        <is>
          <t>Mountain wildfire + remoteness/drought</t>
        </is>
      </c>
      <c r="AC20" s="18" t="n">
        <v>17</v>
      </c>
      <c r="AD20" s="18" t="n">
        <v>170</v>
      </c>
      <c r="AE20" s="18" t="n">
        <v>60</v>
      </c>
    </row>
    <row r="21" ht="15" customHeight="1" s="20">
      <c r="A21" s="7" t="n">
        <v>19</v>
      </c>
      <c r="B21" s="4" t="inlineStr">
        <is>
          <t>Vail</t>
        </is>
      </c>
      <c r="C21" s="4" t="inlineStr">
        <is>
          <t>CO</t>
        </is>
      </c>
      <c r="D21" s="4" t="inlineStr">
        <is>
          <t>Mountain Luxury</t>
        </is>
      </c>
      <c r="E21" s="7" t="n">
        <v>5</v>
      </c>
      <c r="F21" s="4" t="inlineStr">
        <is>
          <t>$12,000–$14,900/mo</t>
        </is>
      </c>
      <c r="G21" s="4" t="inlineStr">
        <is>
          <t>$1,747,000</t>
        </is>
      </c>
      <c r="H21" s="7" t="n">
        <v>6</v>
      </c>
      <c r="I21" s="7" t="n">
        <v>1</v>
      </c>
      <c r="J21" s="7" t="n">
        <v>6</v>
      </c>
      <c r="K21" s="7" t="n">
        <v>7</v>
      </c>
      <c r="L21" s="7" t="n">
        <v>7</v>
      </c>
      <c r="M21" s="7" t="n">
        <v>10</v>
      </c>
      <c r="N21" s="7" t="n">
        <v>8</v>
      </c>
      <c r="O21" s="7" t="n">
        <v>9</v>
      </c>
      <c r="P21" s="7" t="n">
        <v>7</v>
      </c>
      <c r="Q21" s="7" t="n">
        <v>2</v>
      </c>
      <c r="R21" s="7" t="n">
        <v>5</v>
      </c>
      <c r="S21" s="7" t="n">
        <v>5</v>
      </c>
      <c r="T21" s="4" t="inlineStr">
        <is>
          <t>Mountain</t>
        </is>
      </c>
      <c r="U21" s="4" t="inlineStr">
        <is>
          <t>Nature-Centric, Arts &amp; Culture</t>
        </is>
      </c>
      <c r="V21" s="8" t="n">
        <v>3</v>
      </c>
      <c r="W21" s="8" t="n">
        <v>2</v>
      </c>
      <c r="X21" s="9" t="n">
        <v>0.5</v>
      </c>
      <c r="Y21" s="9" t="n">
        <v>4963</v>
      </c>
      <c r="Z21" s="10" t="inlineStr">
        <is>
          <t>Wildfire/foothill zones above avg</t>
        </is>
      </c>
      <c r="AA21" s="7" t="n">
        <v>5</v>
      </c>
      <c r="AB21" s="4" t="inlineStr">
        <is>
          <t>Mountain wildfire + drought + remoteness</t>
        </is>
      </c>
      <c r="AC21" s="18" t="n">
        <v>19</v>
      </c>
      <c r="AD21" s="18" t="n">
        <v>180</v>
      </c>
      <c r="AE21" s="18" t="n">
        <v>62</v>
      </c>
    </row>
    <row r="22" ht="15" customHeight="1" s="20">
      <c r="A22" s="7" t="n">
        <v>20</v>
      </c>
      <c r="B22" s="4" t="inlineStr">
        <is>
          <t>Rehoboth Beach</t>
        </is>
      </c>
      <c r="C22" s="4" t="inlineStr">
        <is>
          <t>DE</t>
        </is>
      </c>
      <c r="D22" s="4" t="inlineStr">
        <is>
          <t>Beach Town / Resort</t>
        </is>
      </c>
      <c r="E22" s="7" t="n">
        <v>4</v>
      </c>
      <c r="F22" s="4" t="inlineStr">
        <is>
          <t>$7,000–$8,700/mo</t>
        </is>
      </c>
      <c r="G22" s="4" t="inlineStr">
        <is>
          <t>$808,000</t>
        </is>
      </c>
      <c r="H22" s="7" t="n">
        <v>5</v>
      </c>
      <c r="I22" s="7" t="n">
        <v>4</v>
      </c>
      <c r="J22" s="7" t="n">
        <v>6</v>
      </c>
      <c r="K22" s="7" t="n">
        <v>9</v>
      </c>
      <c r="L22" s="7" t="n">
        <v>7</v>
      </c>
      <c r="M22" s="7" t="n">
        <v>8</v>
      </c>
      <c r="N22" s="7" t="n">
        <v>6</v>
      </c>
      <c r="O22" s="7" t="n">
        <v>7</v>
      </c>
      <c r="P22" s="7" t="n">
        <v>8</v>
      </c>
      <c r="Q22" s="7" t="n">
        <v>5</v>
      </c>
      <c r="R22" s="7" t="n">
        <v>6</v>
      </c>
      <c r="S22" s="7" t="n">
        <v>5</v>
      </c>
      <c r="T22" s="4" t="inlineStr">
        <is>
          <t>Beach / Coastal</t>
        </is>
      </c>
      <c r="U22" s="4" t="inlineStr">
        <is>
          <t>Historic, Arts &amp; Culture, Quiet &amp; Residential</t>
        </is>
      </c>
      <c r="V22" s="8" t="n">
        <v>8</v>
      </c>
      <c r="W22" s="8" t="n">
        <v>6</v>
      </c>
      <c r="X22" s="9" t="n">
        <v>0.54</v>
      </c>
      <c r="Y22" s="9" t="n">
        <v>1374</v>
      </c>
      <c r="Z22" s="9" t="n"/>
      <c r="AA22" s="7" t="n">
        <v>5</v>
      </c>
      <c r="AB22" s="4" t="inlineStr">
        <is>
          <t>Atlantic coastal flooding, nor'easters, sea-level rise</t>
        </is>
      </c>
      <c r="AC22" s="18" t="n">
        <v>37</v>
      </c>
      <c r="AD22" s="18" t="n">
        <v>12</v>
      </c>
      <c r="AE22" s="18" t="n">
        <v>57</v>
      </c>
    </row>
    <row r="23" ht="15" customHeight="1" s="20">
      <c r="A23" s="7" t="n">
        <v>21</v>
      </c>
      <c r="B23" s="4" t="inlineStr">
        <is>
          <t>Wilmington</t>
        </is>
      </c>
      <c r="C23" s="4" t="inlineStr">
        <is>
          <t>DE</t>
        </is>
      </c>
      <c r="D23" s="4" t="inlineStr">
        <is>
          <t>Historic / Urban</t>
        </is>
      </c>
      <c r="E23" s="7" t="n">
        <v>1</v>
      </c>
      <c r="F23" s="4" t="inlineStr">
        <is>
          <t>$4,700–$5,800/mo</t>
        </is>
      </c>
      <c r="G23" s="4" t="inlineStr">
        <is>
          <t>$336,000</t>
        </is>
      </c>
      <c r="H23" s="7" t="n">
        <v>7</v>
      </c>
      <c r="I23" s="7" t="n">
        <v>8</v>
      </c>
      <c r="J23" s="7" t="n">
        <v>8</v>
      </c>
      <c r="K23" s="7" t="n">
        <v>8</v>
      </c>
      <c r="L23" s="7" t="n">
        <v>6</v>
      </c>
      <c r="M23" s="7" t="n">
        <v>6</v>
      </c>
      <c r="N23" s="7" t="n">
        <v>5</v>
      </c>
      <c r="O23" s="7" t="n">
        <v>7</v>
      </c>
      <c r="P23" s="7" t="n">
        <v>7</v>
      </c>
      <c r="Q23" s="7" t="n">
        <v>4</v>
      </c>
      <c r="R23" s="7" t="n">
        <v>6</v>
      </c>
      <c r="S23" s="7" t="n">
        <v>5</v>
      </c>
      <c r="T23" s="4" t="inlineStr">
        <is>
          <t>Urban / Metro, Forest / Green</t>
        </is>
      </c>
      <c r="U23" s="4" t="inlineStr">
        <is>
          <t>Historic, Arts &amp; Culture, Urban Neighborhood</t>
        </is>
      </c>
      <c r="V23" s="8" t="n">
        <v>8</v>
      </c>
      <c r="W23" s="8" t="n">
        <v>6</v>
      </c>
      <c r="X23" s="9" t="n">
        <v>0.54</v>
      </c>
      <c r="Y23" s="9" t="n">
        <v>1374</v>
      </c>
      <c r="Z23" s="9" t="n"/>
      <c r="AA23" s="7" t="n">
        <v>7</v>
      </c>
      <c r="AB23" s="4" t="inlineStr">
        <is>
          <t>Inland riverine flood risk only; low catastrophic exposure</t>
        </is>
      </c>
      <c r="AC23" s="18" t="n">
        <v>34</v>
      </c>
      <c r="AD23" s="18" t="n">
        <v>19</v>
      </c>
      <c r="AE23" s="18" t="n">
        <v>55</v>
      </c>
    </row>
    <row r="24" ht="15" customHeight="1" s="20">
      <c r="A24" s="7" t="n">
        <v>22</v>
      </c>
      <c r="B24" s="4" t="inlineStr">
        <is>
          <t>Delray Beach</t>
        </is>
      </c>
      <c r="C24" s="4" t="inlineStr">
        <is>
          <t>FL</t>
        </is>
      </c>
      <c r="D24" s="4" t="inlineStr">
        <is>
          <t>Beach / Walkable</t>
        </is>
      </c>
      <c r="E24" s="7" t="n">
        <v>2</v>
      </c>
      <c r="F24" s="4" t="inlineStr">
        <is>
          <t>$5,100–$6,300/mo</t>
        </is>
      </c>
      <c r="G24" s="4" t="inlineStr">
        <is>
          <t>$342,000</t>
        </is>
      </c>
      <c r="H24" s="7" t="n">
        <v>9</v>
      </c>
      <c r="I24" s="7" t="n">
        <v>7</v>
      </c>
      <c r="J24" s="7" t="n">
        <v>5</v>
      </c>
      <c r="K24" s="7" t="n">
        <v>9</v>
      </c>
      <c r="L24" s="7" t="n">
        <v>8</v>
      </c>
      <c r="M24" s="7" t="n">
        <v>6</v>
      </c>
      <c r="N24" s="7" t="n">
        <v>9</v>
      </c>
      <c r="O24" s="7" t="n">
        <v>7</v>
      </c>
      <c r="P24" s="7" t="n">
        <v>9</v>
      </c>
      <c r="Q24" s="7" t="n">
        <v>10</v>
      </c>
      <c r="R24" s="7" t="n">
        <v>4</v>
      </c>
      <c r="S24" s="7" t="n">
        <v>4</v>
      </c>
      <c r="T24" s="4" t="inlineStr">
        <is>
          <t>Beach / Coastal</t>
        </is>
      </c>
      <c r="U24" s="4" t="inlineStr">
        <is>
          <t>Urban Neighborhood, Arts &amp; Culture</t>
        </is>
      </c>
      <c r="V24" s="8" t="n">
        <v>9</v>
      </c>
      <c r="W24" s="8" t="n">
        <v>7</v>
      </c>
      <c r="X24" s="9" t="n">
        <v>0.78</v>
      </c>
      <c r="Y24" s="9" t="n">
        <v>7136</v>
      </c>
      <c r="Z24" s="10" t="inlineStr">
        <is>
          <t>Coastal far above state avg; inland below</t>
        </is>
      </c>
      <c r="AA24" s="7" t="n">
        <v>2</v>
      </c>
      <c r="AB24" s="4" t="inlineStr">
        <is>
          <t>Atlantic hurricane + surge; sits in Florida, the nation's costliest home-insurance market</t>
        </is>
      </c>
      <c r="AC24" s="18" t="n">
        <v>67</v>
      </c>
      <c r="AD24" s="18" t="n">
        <v>0</v>
      </c>
      <c r="AE24" s="18" t="n">
        <v>66</v>
      </c>
    </row>
    <row r="25" ht="15" customHeight="1" s="20">
      <c r="A25" s="7" t="n">
        <v>23</v>
      </c>
      <c r="B25" s="4" t="inlineStr">
        <is>
          <t>Fort Myers</t>
        </is>
      </c>
      <c r="C25" s="4" t="inlineStr">
        <is>
          <t>FL</t>
        </is>
      </c>
      <c r="D25" s="4" t="inlineStr">
        <is>
          <t>Beach / Active Adult</t>
        </is>
      </c>
      <c r="E25" s="7" t="n">
        <v>2</v>
      </c>
      <c r="F25" s="4" t="inlineStr">
        <is>
          <t>$5,200–$6,500/mo</t>
        </is>
      </c>
      <c r="G25" s="4" t="inlineStr">
        <is>
          <t>$310,000</t>
        </is>
      </c>
      <c r="H25" s="7" t="n">
        <v>9</v>
      </c>
      <c r="I25" s="7" t="n">
        <v>7</v>
      </c>
      <c r="J25" s="7" t="n">
        <v>9</v>
      </c>
      <c r="K25" s="7" t="n">
        <v>9</v>
      </c>
      <c r="L25" s="7" t="n">
        <v>3</v>
      </c>
      <c r="M25" s="7" t="n">
        <v>6</v>
      </c>
      <c r="N25" s="7" t="n">
        <v>8</v>
      </c>
      <c r="O25" s="7" t="n">
        <v>6</v>
      </c>
      <c r="P25" s="7" t="n">
        <v>7</v>
      </c>
      <c r="Q25" s="7" t="n">
        <v>10</v>
      </c>
      <c r="R25" s="7" t="n">
        <v>4</v>
      </c>
      <c r="S25" s="7" t="n">
        <v>3</v>
      </c>
      <c r="T25" s="4" t="inlineStr">
        <is>
          <t>Beach / Coastal, Lakeside</t>
        </is>
      </c>
      <c r="U25" s="4" t="inlineStr">
        <is>
          <t>Resort / Golf, Quiet &amp; Residential</t>
        </is>
      </c>
      <c r="V25" s="8" t="n">
        <v>9</v>
      </c>
      <c r="W25" s="8" t="n">
        <v>7</v>
      </c>
      <c r="X25" s="9" t="n">
        <v>0.78</v>
      </c>
      <c r="Y25" s="9" t="n">
        <v>7136</v>
      </c>
      <c r="Z25" s="10" t="inlineStr">
        <is>
          <t>Coastal far above state avg; inland below</t>
        </is>
      </c>
      <c r="AA25" s="7" t="n">
        <v>1</v>
      </c>
      <c r="AB25" s="4" t="inlineStr">
        <is>
          <t>Hurricane Ian ground zero — catastrophic surge; Florida's high-cost insurance market</t>
        </is>
      </c>
      <c r="AC25" s="18" t="n">
        <v>65</v>
      </c>
      <c r="AD25" s="18" t="n">
        <v>0</v>
      </c>
      <c r="AE25" s="18" t="n">
        <v>68</v>
      </c>
    </row>
    <row r="26" ht="15" customHeight="1" s="20">
      <c r="A26" s="7" t="n">
        <v>24</v>
      </c>
      <c r="B26" s="4" t="inlineStr">
        <is>
          <t>Naples</t>
        </is>
      </c>
      <c r="C26" s="4" t="inlineStr">
        <is>
          <t>FL</t>
        </is>
      </c>
      <c r="D26" s="4" t="inlineStr">
        <is>
          <t>Beach / Resort</t>
        </is>
      </c>
      <c r="E26" s="7" t="n">
        <v>3</v>
      </c>
      <c r="F26" s="4" t="inlineStr">
        <is>
          <t>$6,400–$7,900/mo</t>
        </is>
      </c>
      <c r="G26" s="4" t="inlineStr">
        <is>
          <t>$549,000</t>
        </is>
      </c>
      <c r="H26" s="7" t="n">
        <v>8</v>
      </c>
      <c r="I26" s="7" t="n">
        <v>5</v>
      </c>
      <c r="J26" s="7" t="n">
        <v>10</v>
      </c>
      <c r="K26" s="7" t="n">
        <v>9</v>
      </c>
      <c r="L26" s="7" t="n">
        <v>5</v>
      </c>
      <c r="M26" s="7" t="n">
        <v>6</v>
      </c>
      <c r="N26" s="7" t="n">
        <v>10</v>
      </c>
      <c r="O26" s="7" t="n">
        <v>9</v>
      </c>
      <c r="P26" s="7" t="n">
        <v>8</v>
      </c>
      <c r="Q26" s="7" t="n">
        <v>10</v>
      </c>
      <c r="R26" s="7" t="n">
        <v>4</v>
      </c>
      <c r="S26" s="7" t="n">
        <v>3</v>
      </c>
      <c r="T26" s="4" t="inlineStr">
        <is>
          <t>Beach / Coastal</t>
        </is>
      </c>
      <c r="U26" s="4" t="inlineStr">
        <is>
          <t>Resort / Golf</t>
        </is>
      </c>
      <c r="V26" s="8" t="n">
        <v>9</v>
      </c>
      <c r="W26" s="8" t="n">
        <v>7</v>
      </c>
      <c r="X26" s="9" t="n">
        <v>0.78</v>
      </c>
      <c r="Y26" s="9" t="n">
        <v>7136</v>
      </c>
      <c r="Z26" s="10" t="inlineStr">
        <is>
          <t>Coastal far above state avg; inland below</t>
        </is>
      </c>
      <c r="AA26" s="7" t="n">
        <v>2</v>
      </c>
      <c r="AB26" s="4" t="inlineStr">
        <is>
          <t>Hurricane + surge + coastal flood; Florida's high-cost insurance market</t>
        </is>
      </c>
      <c r="AC26" s="18" t="n">
        <v>65</v>
      </c>
      <c r="AD26" s="18" t="n">
        <v>0</v>
      </c>
      <c r="AE26" s="18" t="n">
        <v>68</v>
      </c>
    </row>
    <row r="27" ht="15" customHeight="1" s="20">
      <c r="A27" s="7" t="n">
        <v>25</v>
      </c>
      <c r="B27" s="4" t="inlineStr">
        <is>
          <t>Pensacola</t>
        </is>
      </c>
      <c r="C27" s="4" t="inlineStr">
        <is>
          <t>FL</t>
        </is>
      </c>
      <c r="D27" s="4" t="inlineStr">
        <is>
          <t>Beach / Military</t>
        </is>
      </c>
      <c r="E27" s="7" t="n">
        <v>2</v>
      </c>
      <c r="F27" s="4" t="inlineStr">
        <is>
          <t>$5,000–$6,200/mo</t>
        </is>
      </c>
      <c r="G27" s="4" t="inlineStr">
        <is>
          <t>$269,000</t>
        </is>
      </c>
      <c r="H27" s="7" t="n">
        <v>7</v>
      </c>
      <c r="I27" s="7" t="n">
        <v>7</v>
      </c>
      <c r="J27" s="7" t="n">
        <v>7</v>
      </c>
      <c r="K27" s="7" t="n">
        <v>9</v>
      </c>
      <c r="L27" s="7" t="n">
        <v>4</v>
      </c>
      <c r="M27" s="7" t="n">
        <v>7</v>
      </c>
      <c r="N27" s="7" t="n">
        <v>6</v>
      </c>
      <c r="O27" s="7" t="n">
        <v>6</v>
      </c>
      <c r="P27" s="7" t="n">
        <v>7</v>
      </c>
      <c r="Q27" s="7" t="n">
        <v>7</v>
      </c>
      <c r="R27" s="7" t="n">
        <v>5</v>
      </c>
      <c r="S27" s="7" t="n">
        <v>3</v>
      </c>
      <c r="T27" s="4" t="inlineStr">
        <is>
          <t>Beach / Coastal</t>
        </is>
      </c>
      <c r="U27" s="4" t="inlineStr">
        <is>
          <t>Historic, Nature-Centric</t>
        </is>
      </c>
      <c r="V27" s="8" t="n">
        <v>9</v>
      </c>
      <c r="W27" s="8" t="n">
        <v>7</v>
      </c>
      <c r="X27" s="9" t="n">
        <v>0.78</v>
      </c>
      <c r="Y27" s="9" t="n">
        <v>7136</v>
      </c>
      <c r="Z27" s="10" t="inlineStr">
        <is>
          <t>Coastal far above state avg; inland below</t>
        </is>
      </c>
      <c r="AA27" s="7" t="n">
        <v>2</v>
      </c>
      <c r="AB27" s="4" t="inlineStr">
        <is>
          <t>Panhandle hurricanes (Ivan, Sally) + surge; Florida's high-cost insurance market</t>
        </is>
      </c>
      <c r="AC27" s="18" t="n">
        <v>52</v>
      </c>
      <c r="AD27" s="18" t="n">
        <v>0</v>
      </c>
      <c r="AE27" s="18" t="n">
        <v>62</v>
      </c>
    </row>
    <row r="28" ht="15" customHeight="1" s="20">
      <c r="A28" s="7" t="n">
        <v>26</v>
      </c>
      <c r="B28" s="4" t="inlineStr">
        <is>
          <t>Sarasota</t>
        </is>
      </c>
      <c r="C28" s="4" t="inlineStr">
        <is>
          <t>FL</t>
        </is>
      </c>
      <c r="D28" s="4" t="inlineStr">
        <is>
          <t>Beach / Arts</t>
        </is>
      </c>
      <c r="E28" s="7" t="n">
        <v>2</v>
      </c>
      <c r="F28" s="4" t="inlineStr">
        <is>
          <t>$5,600–$7,000/mo</t>
        </is>
      </c>
      <c r="G28" s="4" t="inlineStr">
        <is>
          <t>$413,000</t>
        </is>
      </c>
      <c r="H28" s="7" t="n">
        <v>7</v>
      </c>
      <c r="I28" s="7" t="n">
        <v>6</v>
      </c>
      <c r="J28" s="7" t="n">
        <v>10</v>
      </c>
      <c r="K28" s="7" t="n">
        <v>9</v>
      </c>
      <c r="L28" s="7" t="n">
        <v>6</v>
      </c>
      <c r="M28" s="7" t="n">
        <v>6</v>
      </c>
      <c r="N28" s="7" t="n">
        <v>9</v>
      </c>
      <c r="O28" s="7" t="n">
        <v>5</v>
      </c>
      <c r="P28" s="7" t="n">
        <v>9</v>
      </c>
      <c r="Q28" s="7" t="n">
        <v>10</v>
      </c>
      <c r="R28" s="7" t="n">
        <v>4</v>
      </c>
      <c r="S28" s="7" t="n">
        <v>3</v>
      </c>
      <c r="T28" s="4" t="inlineStr">
        <is>
          <t>Beach / Coastal</t>
        </is>
      </c>
      <c r="U28" s="4" t="inlineStr">
        <is>
          <t>Resort / Golf, Urban Neighborhood, Arts &amp; Culture</t>
        </is>
      </c>
      <c r="V28" s="8" t="n">
        <v>9</v>
      </c>
      <c r="W28" s="8" t="n">
        <v>7</v>
      </c>
      <c r="X28" s="9" t="n">
        <v>0.78</v>
      </c>
      <c r="Y28" s="9" t="n">
        <v>7136</v>
      </c>
      <c r="Z28" s="10" t="inlineStr">
        <is>
          <t>Coastal far above state avg; inland below</t>
        </is>
      </c>
      <c r="AA28" s="7" t="n">
        <v>2</v>
      </c>
      <c r="AB28" s="4" t="inlineStr">
        <is>
          <t>Gulf surge + hurricane; Florida's high-cost insurance market</t>
        </is>
      </c>
      <c r="AC28" s="18" t="n">
        <v>63</v>
      </c>
      <c r="AD28" s="18" t="n">
        <v>0</v>
      </c>
      <c r="AE28" s="18" t="n">
        <v>66</v>
      </c>
    </row>
    <row r="29" ht="15" customHeight="1" s="20">
      <c r="A29" s="7" t="n">
        <v>27</v>
      </c>
      <c r="B29" s="4" t="inlineStr">
        <is>
          <t>St. Augustine</t>
        </is>
      </c>
      <c r="C29" s="4" t="inlineStr">
        <is>
          <t>FL</t>
        </is>
      </c>
      <c r="D29" s="4" t="inlineStr">
        <is>
          <t>Historic / Beach</t>
        </is>
      </c>
      <c r="E29" s="7" t="n">
        <v>2</v>
      </c>
      <c r="F29" s="4" t="inlineStr">
        <is>
          <t>$5,700–$7,100/mo</t>
        </is>
      </c>
      <c r="G29" s="4" t="inlineStr">
        <is>
          <t>$433,000</t>
        </is>
      </c>
      <c r="H29" s="7" t="n">
        <v>6</v>
      </c>
      <c r="I29" s="7" t="n">
        <v>6</v>
      </c>
      <c r="J29" s="7" t="n">
        <v>8</v>
      </c>
      <c r="K29" s="7" t="n">
        <v>9</v>
      </c>
      <c r="L29" s="7" t="n">
        <v>7</v>
      </c>
      <c r="M29" s="7" t="n">
        <v>6</v>
      </c>
      <c r="N29" s="7" t="n">
        <v>6</v>
      </c>
      <c r="O29" s="7" t="n">
        <v>8</v>
      </c>
      <c r="P29" s="7" t="n">
        <v>9</v>
      </c>
      <c r="Q29" s="7" t="n">
        <v>8</v>
      </c>
      <c r="R29" s="7" t="n">
        <v>4</v>
      </c>
      <c r="S29" s="7" t="n">
        <v>4</v>
      </c>
      <c r="T29" s="4" t="inlineStr">
        <is>
          <t>Beach / Coastal</t>
        </is>
      </c>
      <c r="U29" s="4" t="inlineStr">
        <is>
          <t>Historic, Arts &amp; Culture, Nature-Centric</t>
        </is>
      </c>
      <c r="V29" s="8" t="n">
        <v>9</v>
      </c>
      <c r="W29" s="8" t="n">
        <v>7</v>
      </c>
      <c r="X29" s="9" t="n">
        <v>0.78</v>
      </c>
      <c r="Y29" s="9" t="n">
        <v>7136</v>
      </c>
      <c r="Z29" s="10" t="inlineStr">
        <is>
          <t>Coastal far above state avg; inland below</t>
        </is>
      </c>
      <c r="AA29" s="7" t="n">
        <v>3</v>
      </c>
      <c r="AB29" s="4" t="inlineStr">
        <is>
          <t>NE-FL coast; hurricane/flood, somewhat less surge-exposed; Florida's high-cost insurance market</t>
        </is>
      </c>
      <c r="AC29" s="18" t="n">
        <v>54</v>
      </c>
      <c r="AD29" s="18" t="n">
        <v>0</v>
      </c>
      <c r="AE29" s="18" t="n">
        <v>65</v>
      </c>
    </row>
    <row r="30" ht="15" customHeight="1" s="20">
      <c r="A30" s="7" t="n">
        <v>28</v>
      </c>
      <c r="B30" s="4" t="inlineStr">
        <is>
          <t>St. Petersburg</t>
        </is>
      </c>
      <c r="C30" s="4" t="inlineStr">
        <is>
          <t>FL</t>
        </is>
      </c>
      <c r="D30" s="4" t="inlineStr">
        <is>
          <t>Beach / Arts City</t>
        </is>
      </c>
      <c r="E30" s="7" t="n">
        <v>2</v>
      </c>
      <c r="F30" s="4" t="inlineStr">
        <is>
          <t>$5,200–$6,400/mo</t>
        </is>
      </c>
      <c r="G30" s="4" t="inlineStr">
        <is>
          <t>$356,000</t>
        </is>
      </c>
      <c r="H30" s="7" t="n">
        <v>8</v>
      </c>
      <c r="I30" s="7" t="n">
        <v>7</v>
      </c>
      <c r="J30" s="7" t="n">
        <v>7</v>
      </c>
      <c r="K30" s="7" t="n">
        <v>9</v>
      </c>
      <c r="L30" s="7" t="n">
        <v>8</v>
      </c>
      <c r="M30" s="7" t="n">
        <v>7</v>
      </c>
      <c r="N30" s="7" t="n">
        <v>8</v>
      </c>
      <c r="O30" s="7" t="n">
        <v>6</v>
      </c>
      <c r="P30" s="7" t="n">
        <v>9</v>
      </c>
      <c r="Q30" s="7" t="n">
        <v>9</v>
      </c>
      <c r="R30" s="7" t="n">
        <v>7</v>
      </c>
      <c r="S30" s="7" t="n">
        <v>8</v>
      </c>
      <c r="T30" s="4" t="inlineStr">
        <is>
          <t>Beach / Coastal, Urban / Metro</t>
        </is>
      </c>
      <c r="U30" s="4" t="inlineStr">
        <is>
          <t>Arts &amp; Culture, Urban Neighborhood, Historic</t>
        </is>
      </c>
      <c r="V30" s="8" t="n">
        <v>9</v>
      </c>
      <c r="W30" s="8" t="n">
        <v>7</v>
      </c>
      <c r="X30" s="9" t="n">
        <v>0.78</v>
      </c>
      <c r="Y30" s="9" t="n">
        <v>7136</v>
      </c>
      <c r="Z30" s="10" t="inlineStr">
        <is>
          <t>Coastal far above state avg; inland below</t>
        </is>
      </c>
      <c r="AA30" s="7" t="n">
        <v>2</v>
      </c>
      <c r="AB30" s="4" t="inlineStr">
        <is>
          <t>Tampa Bay — among the most surge-vulnerable US metros; Florida's high-cost insurance market</t>
        </is>
      </c>
      <c r="AC30" s="18" t="n">
        <v>62</v>
      </c>
      <c r="AD30" s="18" t="n">
        <v>0</v>
      </c>
      <c r="AE30" s="18" t="n">
        <v>66</v>
      </c>
    </row>
    <row r="31" ht="15" customHeight="1" s="20">
      <c r="A31" s="7" t="n">
        <v>29</v>
      </c>
      <c r="B31" s="4" t="inlineStr">
        <is>
          <t>Tampa</t>
        </is>
      </c>
      <c r="C31" s="4" t="inlineStr">
        <is>
          <t>FL</t>
        </is>
      </c>
      <c r="D31" s="4" t="inlineStr">
        <is>
          <t>Metro / Beach</t>
        </is>
      </c>
      <c r="E31" s="7" t="n">
        <v>2</v>
      </c>
      <c r="F31" s="4" t="inlineStr">
        <is>
          <t>$5,400–$6,700/mo</t>
        </is>
      </c>
      <c r="G31" s="4" t="inlineStr">
        <is>
          <t>$380,000</t>
        </is>
      </c>
      <c r="H31" s="7" t="n">
        <v>10</v>
      </c>
      <c r="I31" s="7" t="n">
        <v>6</v>
      </c>
      <c r="J31" s="7" t="n">
        <v>10</v>
      </c>
      <c r="K31" s="7" t="n">
        <v>9</v>
      </c>
      <c r="L31" s="7" t="n">
        <v>6</v>
      </c>
      <c r="M31" s="7" t="n">
        <v>6</v>
      </c>
      <c r="N31" s="7" t="n">
        <v>7</v>
      </c>
      <c r="O31" s="7" t="n">
        <v>6</v>
      </c>
      <c r="P31" s="7" t="n">
        <v>8</v>
      </c>
      <c r="Q31" s="7" t="n">
        <v>9</v>
      </c>
      <c r="R31" s="7" t="n">
        <v>4</v>
      </c>
      <c r="S31" s="7" t="n">
        <v>3</v>
      </c>
      <c r="T31" s="4" t="inlineStr">
        <is>
          <t>Beach / Coastal, Lakeside</t>
        </is>
      </c>
      <c r="U31" s="4" t="inlineStr">
        <is>
          <t>Historic, Arts &amp; Culture</t>
        </is>
      </c>
      <c r="V31" s="8" t="n">
        <v>9</v>
      </c>
      <c r="W31" s="8" t="n">
        <v>7</v>
      </c>
      <c r="X31" s="9" t="n">
        <v>0.78</v>
      </c>
      <c r="Y31" s="9" t="n">
        <v>7136</v>
      </c>
      <c r="Z31" s="10" t="inlineStr">
        <is>
          <t>Coastal far above state avg; inland below</t>
        </is>
      </c>
      <c r="AA31" s="7" t="n">
        <v>2</v>
      </c>
      <c r="AB31" s="4" t="inlineStr">
        <is>
          <t>Extreme storm-surge exposure; Florida's high-cost insurance market</t>
        </is>
      </c>
      <c r="AC31" s="18" t="n">
        <v>61</v>
      </c>
      <c r="AD31" s="18" t="n">
        <v>0</v>
      </c>
      <c r="AE31" s="18" t="n">
        <v>66</v>
      </c>
    </row>
    <row r="32" ht="15" customHeight="1" s="20">
      <c r="A32" s="7" t="n">
        <v>30</v>
      </c>
      <c r="B32" s="4" t="inlineStr">
        <is>
          <t>Savannah</t>
        </is>
      </c>
      <c r="C32" s="4" t="inlineStr">
        <is>
          <t>GA</t>
        </is>
      </c>
      <c r="D32" s="4" t="inlineStr">
        <is>
          <t>Historic / Coastal</t>
        </is>
      </c>
      <c r="E32" s="7" t="n">
        <v>1</v>
      </c>
      <c r="F32" s="4" t="inlineStr">
        <is>
          <t>$4,700–$5,800/mo</t>
        </is>
      </c>
      <c r="G32" s="4" t="inlineStr">
        <is>
          <t>$327,000</t>
        </is>
      </c>
      <c r="H32" s="7" t="n">
        <v>5</v>
      </c>
      <c r="I32" s="7" t="n">
        <v>8</v>
      </c>
      <c r="J32" s="7" t="n">
        <v>6</v>
      </c>
      <c r="K32" s="7" t="n">
        <v>7</v>
      </c>
      <c r="L32" s="7" t="n">
        <v>7</v>
      </c>
      <c r="M32" s="7" t="n">
        <v>6</v>
      </c>
      <c r="N32" s="7" t="n">
        <v>5</v>
      </c>
      <c r="O32" s="7" t="n">
        <v>4</v>
      </c>
      <c r="P32" s="7" t="n">
        <v>8</v>
      </c>
      <c r="Q32" s="7" t="n">
        <v>7</v>
      </c>
      <c r="R32" s="7" t="n">
        <v>5</v>
      </c>
      <c r="S32" s="7" t="n">
        <v>3</v>
      </c>
      <c r="T32" s="4" t="inlineStr">
        <is>
          <t>Beach / Coastal, Forest / Green</t>
        </is>
      </c>
      <c r="U32" s="4" t="inlineStr">
        <is>
          <t>Urban Neighborhood, Arts &amp; Culture, Historic</t>
        </is>
      </c>
      <c r="V32" s="8" t="n">
        <v>10</v>
      </c>
      <c r="W32" s="8" t="n">
        <v>7</v>
      </c>
      <c r="X32" s="9" t="n">
        <v>0.79</v>
      </c>
      <c r="Y32" s="9" t="n">
        <v>2323</v>
      </c>
      <c r="Z32" s="9" t="n"/>
      <c r="AA32" s="7" t="n">
        <v>3</v>
      </c>
      <c r="AB32" s="4" t="inlineStr">
        <is>
          <t>Coastal hurricane + tidal flooding</t>
        </is>
      </c>
      <c r="AC32" s="18" t="n">
        <v>50</v>
      </c>
      <c r="AD32" s="18" t="n">
        <v>0</v>
      </c>
      <c r="AE32" s="18" t="n">
        <v>63</v>
      </c>
    </row>
    <row r="33" ht="15" customHeight="1" s="20">
      <c r="A33" s="7" t="n">
        <v>31</v>
      </c>
      <c r="B33" s="4" t="inlineStr">
        <is>
          <t>Des Moines</t>
        </is>
      </c>
      <c r="C33" s="4" t="inlineStr">
        <is>
          <t>IA</t>
        </is>
      </c>
      <c r="D33" s="4" t="inlineStr">
        <is>
          <t>Capital City / Midwest</t>
        </is>
      </c>
      <c r="E33" s="7" t="n">
        <v>1</v>
      </c>
      <c r="F33" s="4" t="inlineStr">
        <is>
          <t>$4,300–$5,400/mo</t>
        </is>
      </c>
      <c r="G33" s="4" t="inlineStr">
        <is>
          <t>$213,000</t>
        </is>
      </c>
      <c r="H33" s="7" t="n">
        <v>7</v>
      </c>
      <c r="I33" s="7" t="n">
        <v>9</v>
      </c>
      <c r="J33" s="7" t="n">
        <v>8</v>
      </c>
      <c r="K33" s="7" t="n">
        <v>8</v>
      </c>
      <c r="L33" s="7" t="n">
        <v>5</v>
      </c>
      <c r="M33" s="7" t="n">
        <v>5</v>
      </c>
      <c r="N33" s="7" t="n">
        <v>7</v>
      </c>
      <c r="O33" s="7" t="n">
        <v>7</v>
      </c>
      <c r="P33" s="7" t="n">
        <v>7</v>
      </c>
      <c r="Q33" s="7" t="n">
        <v>2</v>
      </c>
      <c r="R33" s="7" t="n">
        <v>6</v>
      </c>
      <c r="S33" s="7" t="n">
        <v>4</v>
      </c>
      <c r="T33" s="4" t="inlineStr">
        <is>
          <t>Urban / Metro, Forest / Green</t>
        </is>
      </c>
      <c r="U33" s="4" t="inlineStr">
        <is>
          <t>Urban Neighborhood, Arts &amp; Culture, College Town</t>
        </is>
      </c>
      <c r="V33" s="8" t="n">
        <v>7</v>
      </c>
      <c r="W33" s="8" t="n">
        <v>6</v>
      </c>
      <c r="X33" s="9" t="n">
        <v>1.33</v>
      </c>
      <c r="Y33" s="9" t="n">
        <v>2902</v>
      </c>
      <c r="Z33" s="9" t="n"/>
      <c r="AA33" s="7" t="n">
        <v>7</v>
      </c>
      <c r="AB33" s="4" t="inlineStr">
        <is>
          <t>Derecho (2020) + severe convective storms; insurance stable</t>
        </is>
      </c>
      <c r="AC33" s="18" t="n">
        <v>23</v>
      </c>
      <c r="AD33" s="18" t="n">
        <v>33</v>
      </c>
      <c r="AE33" s="18" t="n">
        <v>58</v>
      </c>
    </row>
    <row r="34" ht="15" customHeight="1" s="20">
      <c r="A34" s="7" t="n">
        <v>32</v>
      </c>
      <c r="B34" s="4" t="inlineStr">
        <is>
          <t>Boise</t>
        </is>
      </c>
      <c r="C34" s="4" t="inlineStr">
        <is>
          <t>ID</t>
        </is>
      </c>
      <c r="D34" s="4" t="inlineStr">
        <is>
          <t>Outdoor / Growing</t>
        </is>
      </c>
      <c r="E34" s="7" t="n">
        <v>2</v>
      </c>
      <c r="F34" s="4" t="inlineStr">
        <is>
          <t>$5,700–$7,100/mo</t>
        </is>
      </c>
      <c r="G34" s="4" t="inlineStr">
        <is>
          <t>$508,000</t>
        </is>
      </c>
      <c r="H34" s="7" t="n">
        <v>7</v>
      </c>
      <c r="I34" s="7" t="n">
        <v>6</v>
      </c>
      <c r="J34" s="7" t="n">
        <v>7</v>
      </c>
      <c r="K34" s="7" t="n">
        <v>6</v>
      </c>
      <c r="L34" s="7" t="n">
        <v>4</v>
      </c>
      <c r="M34" s="7" t="n">
        <v>8</v>
      </c>
      <c r="N34" s="7" t="n">
        <v>7</v>
      </c>
      <c r="O34" s="7" t="n">
        <v>8</v>
      </c>
      <c r="P34" s="7" t="n">
        <v>7</v>
      </c>
      <c r="Q34" s="7" t="n">
        <v>4</v>
      </c>
      <c r="R34" s="7" t="n">
        <v>5</v>
      </c>
      <c r="S34" s="7" t="n">
        <v>8</v>
      </c>
      <c r="T34" s="4" t="inlineStr">
        <is>
          <t>Lakeside</t>
        </is>
      </c>
      <c r="U34" s="4" t="inlineStr">
        <is>
          <t>Arts &amp; Culture, Nature-Centric</t>
        </is>
      </c>
      <c r="V34" s="8" t="n">
        <v>4</v>
      </c>
      <c r="W34" s="8" t="n">
        <v>7</v>
      </c>
      <c r="X34" s="9" t="n">
        <v>0.5</v>
      </c>
      <c r="Y34" s="9" t="n">
        <v>2240</v>
      </c>
      <c r="Z34" s="9" t="n"/>
      <c r="AA34" s="7" t="n">
        <v>5</v>
      </c>
      <c r="AB34" s="4" t="inlineStr">
        <is>
          <t>Wildfire + smoke + growing heat</t>
        </is>
      </c>
      <c r="AC34" s="18" t="n">
        <v>32</v>
      </c>
      <c r="AD34" s="18" t="n">
        <v>19</v>
      </c>
      <c r="AE34" s="18" t="n">
        <v>64</v>
      </c>
    </row>
    <row r="35" ht="15" customHeight="1" s="20">
      <c r="A35" s="7" t="n">
        <v>33</v>
      </c>
      <c r="B35" s="4" t="inlineStr">
        <is>
          <t>Coeur d’Alène</t>
        </is>
      </c>
      <c r="C35" s="4" t="inlineStr">
        <is>
          <t>ID</t>
        </is>
      </c>
      <c r="D35" s="4" t="inlineStr">
        <is>
          <t>Lakeside Mountain</t>
        </is>
      </c>
      <c r="E35" s="7" t="n">
        <v>3</v>
      </c>
      <c r="F35" s="4" t="inlineStr">
        <is>
          <t>$6,200–$7,700/mo</t>
        </is>
      </c>
      <c r="G35" s="4" t="inlineStr">
        <is>
          <t>$611,000</t>
        </is>
      </c>
      <c r="H35" s="7" t="n">
        <v>6</v>
      </c>
      <c r="I35" s="7" t="n">
        <v>5</v>
      </c>
      <c r="J35" s="7" t="n">
        <v>6</v>
      </c>
      <c r="K35" s="7" t="n">
        <v>7</v>
      </c>
      <c r="L35" s="7" t="n">
        <v>5</v>
      </c>
      <c r="M35" s="7" t="n">
        <v>8</v>
      </c>
      <c r="N35" s="7" t="n">
        <v>7</v>
      </c>
      <c r="O35" s="7" t="n">
        <v>7</v>
      </c>
      <c r="P35" s="7" t="n">
        <v>7</v>
      </c>
      <c r="Q35" s="7" t="n">
        <v>3</v>
      </c>
      <c r="R35" s="7" t="n">
        <v>6</v>
      </c>
      <c r="S35" s="7" t="n">
        <v>5</v>
      </c>
      <c r="T35" s="4" t="inlineStr">
        <is>
          <t>Mountain, Lakeside</t>
        </is>
      </c>
      <c r="U35" s="4" t="inlineStr">
        <is>
          <t>Nature-Centric, Arts &amp; Culture</t>
        </is>
      </c>
      <c r="V35" s="8" t="n">
        <v>5</v>
      </c>
      <c r="W35" s="8" t="n">
        <v>5</v>
      </c>
      <c r="X35" s="9" t="n">
        <v>0.5</v>
      </c>
      <c r="Y35" s="9" t="n">
        <v>2240</v>
      </c>
      <c r="Z35" s="9" t="n"/>
      <c r="AA35" s="7" t="n">
        <v>5</v>
      </c>
      <c r="AB35" s="4" t="inlineStr">
        <is>
          <t>Wildfire + smoke</t>
        </is>
      </c>
      <c r="AC35" s="18" t="n">
        <v>28</v>
      </c>
      <c r="AD35" s="18" t="n">
        <v>50</v>
      </c>
      <c r="AE35" s="18" t="n">
        <v>48</v>
      </c>
    </row>
    <row r="36" ht="15" customHeight="1" s="20">
      <c r="A36" s="7" t="n">
        <v>34</v>
      </c>
      <c r="B36" s="4" t="inlineStr">
        <is>
          <t>Sun Valley</t>
        </is>
      </c>
      <c r="C36" s="4" t="inlineStr">
        <is>
          <t>ID</t>
        </is>
      </c>
      <c r="D36" s="4" t="inlineStr">
        <is>
          <t>Mountain Resort</t>
        </is>
      </c>
      <c r="E36" s="7" t="n">
        <v>5</v>
      </c>
      <c r="F36" s="4" t="inlineStr">
        <is>
          <t>$8,900–$11,100/mo</t>
        </is>
      </c>
      <c r="G36" s="4" t="inlineStr">
        <is>
          <t>$1,174,000</t>
        </is>
      </c>
      <c r="H36" s="7" t="n">
        <v>5</v>
      </c>
      <c r="I36" s="7" t="n">
        <v>2</v>
      </c>
      <c r="J36" s="7" t="n">
        <v>5</v>
      </c>
      <c r="K36" s="7" t="n">
        <v>7</v>
      </c>
      <c r="L36" s="7" t="n">
        <v>6</v>
      </c>
      <c r="M36" s="7" t="n">
        <v>10</v>
      </c>
      <c r="N36" s="7" t="n">
        <v>5</v>
      </c>
      <c r="O36" s="7" t="n">
        <v>9</v>
      </c>
      <c r="P36" s="7" t="n">
        <v>7</v>
      </c>
      <c r="Q36" s="7" t="n">
        <v>2</v>
      </c>
      <c r="R36" s="7" t="n">
        <v>5</v>
      </c>
      <c r="S36" s="7" t="n">
        <v>4</v>
      </c>
      <c r="T36" s="4" t="inlineStr">
        <is>
          <t>Mountain</t>
        </is>
      </c>
      <c r="U36" s="4" t="inlineStr">
        <is>
          <t>Nature-Centric, Arts &amp; Culture</t>
        </is>
      </c>
      <c r="V36" s="8" t="n">
        <v>3</v>
      </c>
      <c r="W36" s="8" t="n">
        <v>4</v>
      </c>
      <c r="X36" s="9" t="n">
        <v>0.5</v>
      </c>
      <c r="Y36" s="9" t="n">
        <v>2240</v>
      </c>
      <c r="Z36" s="9" t="n"/>
      <c r="AA36" s="7" t="n">
        <v>5</v>
      </c>
      <c r="AB36" s="4" t="inlineStr">
        <is>
          <t>Mountain wildfire + remoteness</t>
        </is>
      </c>
      <c r="AC36" s="18" t="n">
        <v>22</v>
      </c>
      <c r="AD36" s="18" t="n">
        <v>120</v>
      </c>
      <c r="AE36" s="18" t="n">
        <v>65</v>
      </c>
    </row>
    <row r="37" ht="15" customHeight="1" s="20">
      <c r="A37" s="7" t="n">
        <v>35</v>
      </c>
      <c r="B37" s="4" t="inlineStr">
        <is>
          <t>Bloomington</t>
        </is>
      </c>
      <c r="C37" s="4" t="inlineStr">
        <is>
          <t>IN</t>
        </is>
      </c>
      <c r="D37" s="4" t="inlineStr">
        <is>
          <t>College Town</t>
        </is>
      </c>
      <c r="E37" s="7" t="n">
        <v>1</v>
      </c>
      <c r="F37" s="4" t="inlineStr">
        <is>
          <t>$4,700–$5,800/mo</t>
        </is>
      </c>
      <c r="G37" s="4" t="inlineStr">
        <is>
          <t>$321,000</t>
        </is>
      </c>
      <c r="H37" s="7" t="n">
        <v>5</v>
      </c>
      <c r="I37" s="7" t="n">
        <v>8</v>
      </c>
      <c r="J37" s="7" t="n">
        <v>7</v>
      </c>
      <c r="K37" s="7" t="n">
        <v>6</v>
      </c>
      <c r="L37" s="7" t="n">
        <v>6</v>
      </c>
      <c r="M37" s="7" t="n">
        <v>6</v>
      </c>
      <c r="N37" s="7" t="n">
        <v>6</v>
      </c>
      <c r="O37" s="7" t="n">
        <v>6</v>
      </c>
      <c r="P37" s="7" t="n">
        <v>8</v>
      </c>
      <c r="Q37" s="7" t="n">
        <v>3</v>
      </c>
      <c r="R37" s="7" t="n">
        <v>7</v>
      </c>
      <c r="S37" s="7" t="n">
        <v>5</v>
      </c>
      <c r="T37" s="4" t="inlineStr">
        <is>
          <t>Forest / Green</t>
        </is>
      </c>
      <c r="U37" s="4" t="inlineStr">
        <is>
          <t>College Town, Quiet &amp; Residential, Arts &amp; Culture</t>
        </is>
      </c>
      <c r="V37" s="8" t="n">
        <v>7</v>
      </c>
      <c r="W37" s="8" t="n">
        <v>6</v>
      </c>
      <c r="X37" s="9" t="n">
        <v>0.76</v>
      </c>
      <c r="Y37" s="9" t="n">
        <v>2887</v>
      </c>
      <c r="Z37" s="9" t="n"/>
      <c r="AA37" s="7" t="n">
        <v>7</v>
      </c>
      <c r="AB37" s="4" t="inlineStr">
        <is>
          <t>Tornado/severe-storm season; otherwise low exposure</t>
        </is>
      </c>
      <c r="AC37" s="18" t="n">
        <v>30</v>
      </c>
      <c r="AD37" s="18" t="n">
        <v>20</v>
      </c>
      <c r="AE37" s="18" t="n">
        <v>52</v>
      </c>
    </row>
    <row r="38" ht="15" customHeight="1" s="20">
      <c r="A38" s="7" t="n">
        <v>36</v>
      </c>
      <c r="B38" s="4" t="inlineStr">
        <is>
          <t>Indianapolis</t>
        </is>
      </c>
      <c r="C38" s="4" t="inlineStr">
        <is>
          <t>IN</t>
        </is>
      </c>
      <c r="D38" s="4" t="inlineStr">
        <is>
          <t>Urban / Sports</t>
        </is>
      </c>
      <c r="E38" s="7" t="n">
        <v>1</v>
      </c>
      <c r="F38" s="4" t="inlineStr">
        <is>
          <t>$4,300–$5,400/mo</t>
        </is>
      </c>
      <c r="G38" s="4" t="inlineStr">
        <is>
          <t>$234,000</t>
        </is>
      </c>
      <c r="H38" s="7" t="n">
        <v>8</v>
      </c>
      <c r="I38" s="7" t="n">
        <v>9</v>
      </c>
      <c r="J38" s="7" t="n">
        <v>8</v>
      </c>
      <c r="K38" s="7" t="n">
        <v>6</v>
      </c>
      <c r="L38" s="7" t="n">
        <v>5</v>
      </c>
      <c r="M38" s="7" t="n">
        <v>3</v>
      </c>
      <c r="N38" s="7" t="n">
        <v>5</v>
      </c>
      <c r="O38" s="7" t="n">
        <v>7</v>
      </c>
      <c r="P38" s="7" t="n">
        <v>7</v>
      </c>
      <c r="Q38" s="7" t="n">
        <v>3</v>
      </c>
      <c r="R38" s="7" t="n">
        <v>7</v>
      </c>
      <c r="S38" s="7" t="n">
        <v>4</v>
      </c>
      <c r="T38" s="4" t="inlineStr">
        <is>
          <t>Urban / Metro, Forest / Green</t>
        </is>
      </c>
      <c r="U38" s="4" t="inlineStr">
        <is>
          <t>Urban Neighborhood, Arts &amp; Culture</t>
        </is>
      </c>
      <c r="V38" s="8" t="n">
        <v>7</v>
      </c>
      <c r="W38" s="8" t="n">
        <v>7</v>
      </c>
      <c r="X38" s="9" t="n">
        <v>0.76</v>
      </c>
      <c r="Y38" s="9" t="n">
        <v>2887</v>
      </c>
      <c r="Z38" s="9" t="n"/>
      <c r="AA38" s="7" t="n">
        <v>7</v>
      </c>
      <c r="AB38" s="4" t="inlineStr">
        <is>
          <t>Tornado/severe storms; low catastrophic exposure</t>
        </is>
      </c>
      <c r="AC38" s="18" t="n">
        <v>28</v>
      </c>
      <c r="AD38" s="18" t="n">
        <v>25</v>
      </c>
      <c r="AE38" s="18" t="n">
        <v>52</v>
      </c>
    </row>
    <row r="39" ht="15" customHeight="1" s="20">
      <c r="A39" s="7" t="n">
        <v>37</v>
      </c>
      <c r="B39" s="4" t="inlineStr">
        <is>
          <t>Lexington</t>
        </is>
      </c>
      <c r="C39" s="4" t="inlineStr">
        <is>
          <t>KY</t>
        </is>
      </c>
      <c r="D39" s="4" t="inlineStr">
        <is>
          <t>Horse Country / College</t>
        </is>
      </c>
      <c r="E39" s="7" t="n">
        <v>1</v>
      </c>
      <c r="F39" s="4" t="inlineStr">
        <is>
          <t>$4,800–$5,900/mo</t>
        </is>
      </c>
      <c r="G39" s="4" t="inlineStr">
        <is>
          <t>$337,000</t>
        </is>
      </c>
      <c r="H39" s="7" t="n">
        <v>6</v>
      </c>
      <c r="I39" s="7" t="n">
        <v>8</v>
      </c>
      <c r="J39" s="7" t="n">
        <v>9</v>
      </c>
      <c r="K39" s="7" t="n">
        <v>6</v>
      </c>
      <c r="L39" s="7" t="n">
        <v>6</v>
      </c>
      <c r="M39" s="7" t="n">
        <v>6</v>
      </c>
      <c r="N39" s="7" t="n">
        <v>6</v>
      </c>
      <c r="O39" s="7" t="n">
        <v>6</v>
      </c>
      <c r="P39" s="7" t="n">
        <v>7</v>
      </c>
      <c r="Q39" s="7" t="n">
        <v>4</v>
      </c>
      <c r="R39" s="7" t="n">
        <v>6</v>
      </c>
      <c r="S39" s="7" t="n">
        <v>4</v>
      </c>
      <c r="T39" s="4" t="inlineStr">
        <is>
          <t>Lakeside, Forest / Green</t>
        </is>
      </c>
      <c r="U39" s="4" t="inlineStr">
        <is>
          <t>Historic, College Town, Arts &amp; Culture</t>
        </is>
      </c>
      <c r="V39" s="8" t="n">
        <v>7</v>
      </c>
      <c r="W39" s="8" t="n">
        <v>7</v>
      </c>
      <c r="X39" s="9" t="n">
        <v>0.74</v>
      </c>
      <c r="Y39" s="9" t="n">
        <v>4042</v>
      </c>
      <c r="Z39" s="9" t="n"/>
      <c r="AA39" s="7" t="n">
        <v>6</v>
      </c>
      <c r="AB39" s="4" t="inlineStr">
        <is>
          <t>Tornado + flooding risk; moderate overall</t>
        </is>
      </c>
      <c r="AC39" s="18" t="n">
        <v>33</v>
      </c>
      <c r="AD39" s="18" t="n">
        <v>13</v>
      </c>
      <c r="AE39" s="18" t="n">
        <v>54</v>
      </c>
    </row>
    <row r="40" ht="15" customHeight="1" s="20">
      <c r="A40" s="7" t="n">
        <v>38</v>
      </c>
      <c r="B40" s="4" t="inlineStr">
        <is>
          <t>Paducah</t>
        </is>
      </c>
      <c r="C40" s="4" t="inlineStr">
        <is>
          <t>KY</t>
        </is>
      </c>
      <c r="D40" s="4" t="inlineStr">
        <is>
          <t>River City / Arts</t>
        </is>
      </c>
      <c r="E40" s="7" t="n">
        <v>1</v>
      </c>
      <c r="F40" s="4" t="inlineStr">
        <is>
          <t>$4,100–$5,100/mo</t>
        </is>
      </c>
      <c r="G40" s="4" t="inlineStr">
        <is>
          <t>$192,000</t>
        </is>
      </c>
      <c r="H40" s="7" t="n">
        <v>4</v>
      </c>
      <c r="I40" s="7" t="n">
        <v>10</v>
      </c>
      <c r="J40" s="7" t="n">
        <v>6</v>
      </c>
      <c r="K40" s="7" t="n">
        <v>7</v>
      </c>
      <c r="L40" s="7" t="n">
        <v>5</v>
      </c>
      <c r="M40" s="7" t="n">
        <v>4</v>
      </c>
      <c r="N40" s="7" t="n">
        <v>4</v>
      </c>
      <c r="O40" s="7" t="n">
        <v>6</v>
      </c>
      <c r="P40" s="7" t="n">
        <v>7</v>
      </c>
      <c r="Q40" s="7" t="n">
        <v>4</v>
      </c>
      <c r="R40" s="7" t="n">
        <v>7</v>
      </c>
      <c r="S40" s="7" t="n">
        <v>5</v>
      </c>
      <c r="T40" s="4" t="inlineStr">
        <is>
          <t>Lakeside, Forest / Green</t>
        </is>
      </c>
      <c r="U40" s="4" t="inlineStr">
        <is>
          <t>Arts &amp; Culture, Historic, Nature-Centric</t>
        </is>
      </c>
      <c r="V40" s="8" t="n">
        <v>8</v>
      </c>
      <c r="W40" s="8" t="n">
        <v>7</v>
      </c>
      <c r="X40" s="9" t="n">
        <v>0.74</v>
      </c>
      <c r="Y40" s="9" t="n">
        <v>4042</v>
      </c>
      <c r="Z40" s="9" t="n"/>
      <c r="AA40" s="7" t="n">
        <v>5</v>
      </c>
      <c r="AB40" s="4" t="inlineStr">
        <is>
          <t>New Madrid seismic-zone edge + Ohio/Mississippi flooding + tornado</t>
        </is>
      </c>
      <c r="AC40" s="18" t="n">
        <v>35</v>
      </c>
      <c r="AD40" s="18" t="n">
        <v>8</v>
      </c>
      <c r="AE40" s="18" t="n">
        <v>57</v>
      </c>
    </row>
    <row r="41" ht="15" customHeight="1" s="20">
      <c r="A41" s="7" t="n">
        <v>39</v>
      </c>
      <c r="B41" s="4" t="inlineStr">
        <is>
          <t>Annapolis</t>
        </is>
      </c>
      <c r="C41" s="4" t="inlineStr">
        <is>
          <t>MD</t>
        </is>
      </c>
      <c r="D41" s="4" t="inlineStr">
        <is>
          <t>Historic / Waterfront</t>
        </is>
      </c>
      <c r="E41" s="7" t="n">
        <v>3</v>
      </c>
      <c r="F41" s="4" t="inlineStr">
        <is>
          <t>$6,300–$7,900/mo</t>
        </is>
      </c>
      <c r="G41" s="4" t="inlineStr">
        <is>
          <t>$633,000</t>
        </is>
      </c>
      <c r="H41" s="7" t="n">
        <v>8</v>
      </c>
      <c r="I41" s="7" t="n">
        <v>5</v>
      </c>
      <c r="J41" s="7" t="n">
        <v>7</v>
      </c>
      <c r="K41" s="7" t="n">
        <v>4</v>
      </c>
      <c r="L41" s="7" t="n">
        <v>8</v>
      </c>
      <c r="M41" s="7" t="n">
        <v>7</v>
      </c>
      <c r="N41" s="7" t="n">
        <v>6</v>
      </c>
      <c r="O41" s="7" t="n">
        <v>6</v>
      </c>
      <c r="P41" s="7" t="n">
        <v>8</v>
      </c>
      <c r="Q41" s="7" t="n">
        <v>4</v>
      </c>
      <c r="R41" s="7" t="n">
        <v>6</v>
      </c>
      <c r="S41" s="7" t="n">
        <v>4</v>
      </c>
      <c r="T41" s="4" t="inlineStr">
        <is>
          <t>Beach / Coastal, Lakeside</t>
        </is>
      </c>
      <c r="U41" s="4" t="inlineStr">
        <is>
          <t>Historic, Arts &amp; Culture, Nature-Centric</t>
        </is>
      </c>
      <c r="V41" s="8" t="n">
        <v>7</v>
      </c>
      <c r="W41" s="8" t="n">
        <v>5</v>
      </c>
      <c r="X41" s="9" t="n">
        <v>0.92</v>
      </c>
      <c r="Y41" s="9" t="n">
        <v>1918</v>
      </c>
      <c r="Z41" s="9" t="n"/>
      <c r="AA41" s="7" t="n">
        <v>6</v>
      </c>
      <c r="AB41" s="4" t="inlineStr">
        <is>
          <t>Chesapeake tidal flooding + sea-level rise + hurricane remnants</t>
        </is>
      </c>
      <c r="AC41" s="18" t="n">
        <v>35</v>
      </c>
      <c r="AD41" s="18" t="n">
        <v>15</v>
      </c>
      <c r="AE41" s="18" t="n">
        <v>56</v>
      </c>
    </row>
    <row r="42" ht="15" customHeight="1" s="20">
      <c r="A42" s="7" t="n">
        <v>40</v>
      </c>
      <c r="B42" s="4" t="inlineStr">
        <is>
          <t>Silver Spring</t>
        </is>
      </c>
      <c r="C42" s="4" t="inlineStr">
        <is>
          <t>MD</t>
        </is>
      </c>
      <c r="D42" s="4" t="inlineStr">
        <is>
          <t>Urban / Walkable / DC Metro</t>
        </is>
      </c>
      <c r="E42" s="7" t="n">
        <v>3</v>
      </c>
      <c r="F42" s="4" t="inlineStr">
        <is>
          <t>$6,100–$7,600/mo</t>
        </is>
      </c>
      <c r="G42" s="4" t="inlineStr">
        <is>
          <t>$557,000</t>
        </is>
      </c>
      <c r="H42" s="7" t="n">
        <v>8</v>
      </c>
      <c r="I42" s="7" t="n">
        <v>5</v>
      </c>
      <c r="J42" s="7" t="n">
        <v>8</v>
      </c>
      <c r="K42" s="7" t="n">
        <v>4</v>
      </c>
      <c r="L42" s="7" t="n">
        <v>7</v>
      </c>
      <c r="M42" s="7" t="n">
        <v>5</v>
      </c>
      <c r="N42" s="7" t="n">
        <v>6</v>
      </c>
      <c r="O42" s="7" t="n">
        <v>5</v>
      </c>
      <c r="P42" s="7" t="n">
        <v>7</v>
      </c>
      <c r="Q42" s="7" t="n">
        <v>5</v>
      </c>
      <c r="R42" s="7" t="n">
        <v>6</v>
      </c>
      <c r="S42" s="7" t="n">
        <v>5</v>
      </c>
      <c r="T42" s="4" t="inlineStr">
        <is>
          <t>Urban / Metro</t>
        </is>
      </c>
      <c r="U42" s="4" t="inlineStr">
        <is>
          <t>Arts &amp; Culture, Urban Neighborhood, Nature-Centric</t>
        </is>
      </c>
      <c r="V42" s="8" t="n">
        <v>8</v>
      </c>
      <c r="W42" s="8" t="n">
        <v>6</v>
      </c>
      <c r="X42" s="9" t="n">
        <v>0.92</v>
      </c>
      <c r="Y42" s="9" t="n">
        <v>1918</v>
      </c>
      <c r="Z42" s="9" t="n"/>
      <c r="AA42" s="7" t="n">
        <v>7</v>
      </c>
      <c r="AB42" s="4" t="inlineStr">
        <is>
          <t>Inland DC metro; low catastrophic, some flooding</t>
        </is>
      </c>
      <c r="AC42" s="18" t="n">
        <v>35</v>
      </c>
      <c r="AD42" s="18" t="n">
        <v>15</v>
      </c>
      <c r="AE42" s="18" t="n">
        <v>56</v>
      </c>
    </row>
    <row r="43" ht="15" customHeight="1" s="20">
      <c r="A43" s="7" t="n">
        <v>41</v>
      </c>
      <c r="B43" s="4" t="inlineStr">
        <is>
          <t>Portland</t>
        </is>
      </c>
      <c r="C43" s="4" t="inlineStr">
        <is>
          <t>ME</t>
        </is>
      </c>
      <c r="D43" s="4" t="inlineStr">
        <is>
          <t>New England / Arts</t>
        </is>
      </c>
      <c r="E43" s="7" t="n">
        <v>3</v>
      </c>
      <c r="F43" s="4" t="inlineStr">
        <is>
          <t>$5,900–$7,300/mo</t>
        </is>
      </c>
      <c r="G43" s="4" t="inlineStr">
        <is>
          <t>$571,000</t>
        </is>
      </c>
      <c r="H43" s="7" t="n">
        <v>8</v>
      </c>
      <c r="I43" s="7" t="n">
        <v>5</v>
      </c>
      <c r="J43" s="7" t="n">
        <v>9</v>
      </c>
      <c r="K43" s="7" t="n">
        <v>4</v>
      </c>
      <c r="L43" s="7" t="n">
        <v>9</v>
      </c>
      <c r="M43" s="7" t="n">
        <v>7</v>
      </c>
      <c r="N43" s="7" t="n">
        <v>6</v>
      </c>
      <c r="O43" s="7" t="n">
        <v>4</v>
      </c>
      <c r="P43" s="7" t="n">
        <v>9</v>
      </c>
      <c r="Q43" s="7" t="n">
        <v>2</v>
      </c>
      <c r="R43" s="7" t="n">
        <v>8</v>
      </c>
      <c r="S43" s="7" t="n">
        <v>6</v>
      </c>
      <c r="T43" s="4" t="inlineStr">
        <is>
          <t>Beach / Coastal, Lakeside</t>
        </is>
      </c>
      <c r="U43" s="4" t="inlineStr">
        <is>
          <t>Historic, Quiet &amp; Residential, Arts &amp; Culture</t>
        </is>
      </c>
      <c r="V43" s="8" t="n">
        <v>6</v>
      </c>
      <c r="W43" s="8" t="n">
        <v>3</v>
      </c>
      <c r="X43" s="9" t="n">
        <v>0.98</v>
      </c>
      <c r="Y43" s="9" t="n">
        <v>1335</v>
      </c>
      <c r="Z43" s="9" t="n"/>
      <c r="AA43" s="7" t="n">
        <v>8</v>
      </c>
      <c r="AB43" s="4" t="inlineStr">
        <is>
          <t>Coastal storms but low catastrophic exposure; stable market</t>
        </is>
      </c>
      <c r="AC43" s="18" t="n">
        <v>23</v>
      </c>
      <c r="AD43" s="18" t="n">
        <v>62</v>
      </c>
      <c r="AE43" s="18" t="n">
        <v>57</v>
      </c>
    </row>
    <row r="44" ht="15" customHeight="1" s="20">
      <c r="A44" s="7" t="n">
        <v>42</v>
      </c>
      <c r="B44" s="4" t="inlineStr">
        <is>
          <t>Ann Arbor</t>
        </is>
      </c>
      <c r="C44" s="4" t="inlineStr">
        <is>
          <t>MI</t>
        </is>
      </c>
      <c r="D44" s="4" t="inlineStr">
        <is>
          <t>College Town</t>
        </is>
      </c>
      <c r="E44" s="7" t="n">
        <v>3</v>
      </c>
      <c r="F44" s="4" t="inlineStr">
        <is>
          <t>$5,900–$7,300/mo</t>
        </is>
      </c>
      <c r="G44" s="4" t="inlineStr">
        <is>
          <t>$541,000</t>
        </is>
      </c>
      <c r="H44" s="7" t="n">
        <v>9</v>
      </c>
      <c r="I44" s="7" t="n">
        <v>5</v>
      </c>
      <c r="J44" s="7" t="n">
        <v>10</v>
      </c>
      <c r="K44" s="7" t="n">
        <v>7</v>
      </c>
      <c r="L44" s="7" t="n">
        <v>8</v>
      </c>
      <c r="M44" s="7" t="n">
        <v>5</v>
      </c>
      <c r="N44" s="7" t="n">
        <v>7</v>
      </c>
      <c r="O44" s="7" t="n">
        <v>7</v>
      </c>
      <c r="P44" s="7" t="n">
        <v>8</v>
      </c>
      <c r="Q44" s="7" t="n">
        <v>3</v>
      </c>
      <c r="R44" s="7" t="n">
        <v>7</v>
      </c>
      <c r="S44" s="7" t="n">
        <v>5</v>
      </c>
      <c r="T44" s="4" t="inlineStr">
        <is>
          <t>Lakeside</t>
        </is>
      </c>
      <c r="U44" s="4" t="inlineStr">
        <is>
          <t>College Town, Arts &amp; Culture, Nature-Centric</t>
        </is>
      </c>
      <c r="V44" s="8" t="n">
        <v>6</v>
      </c>
      <c r="W44" s="8" t="n">
        <v>5</v>
      </c>
      <c r="X44" s="9" t="n">
        <v>1.19</v>
      </c>
      <c r="Y44" s="9" t="n">
        <v>2924</v>
      </c>
      <c r="Z44" s="9" t="n"/>
      <c r="AA44" s="7" t="n">
        <v>9</v>
      </c>
      <c r="AB44" s="4" t="inlineStr">
        <is>
          <t>Great Lakes; minimal catastrophic exposure, stable insurance</t>
        </is>
      </c>
      <c r="AC44" s="18" t="n">
        <v>25</v>
      </c>
      <c r="AD44" s="18" t="n">
        <v>42</v>
      </c>
      <c r="AE44" s="18" t="n">
        <v>48</v>
      </c>
    </row>
    <row r="45" ht="15" customHeight="1" s="20">
      <c r="A45" s="7" t="n">
        <v>43</v>
      </c>
      <c r="B45" s="4" t="inlineStr">
        <is>
          <t>St. Paul</t>
        </is>
      </c>
      <c r="C45" s="4" t="inlineStr">
        <is>
          <t>MN</t>
        </is>
      </c>
      <c r="D45" s="4" t="inlineStr">
        <is>
          <t>Major Metro</t>
        </is>
      </c>
      <c r="E45" s="7" t="n">
        <v>1</v>
      </c>
      <c r="F45" s="4" t="inlineStr">
        <is>
          <t>$4,700–$5,900/mo</t>
        </is>
      </c>
      <c r="G45" s="7" t="inlineStr">
        <is>
          <t>$301,000</t>
        </is>
      </c>
      <c r="H45" s="7" t="n">
        <v>10</v>
      </c>
      <c r="I45" s="7" t="n">
        <v>8</v>
      </c>
      <c r="J45" s="7" t="n">
        <v>9</v>
      </c>
      <c r="K45" s="7" t="n">
        <v>3</v>
      </c>
      <c r="L45" s="7" t="n">
        <v>7</v>
      </c>
      <c r="M45" s="7" t="n">
        <v>6</v>
      </c>
      <c r="N45" s="7" t="n">
        <v>7</v>
      </c>
      <c r="O45" s="7" t="n">
        <v>7</v>
      </c>
      <c r="P45" s="7" t="n">
        <v>8</v>
      </c>
      <c r="Q45" s="7" t="n">
        <v>1</v>
      </c>
      <c r="R45" s="7" t="n">
        <v>7</v>
      </c>
      <c r="S45" s="7" t="n">
        <v>5</v>
      </c>
      <c r="T45" s="4" t="inlineStr">
        <is>
          <t>Urban / Metro</t>
        </is>
      </c>
      <c r="U45" s="4" t="inlineStr">
        <is>
          <t>Historic, College Town, Urban Neighborhood</t>
        </is>
      </c>
      <c r="V45" s="8" t="n">
        <v>6</v>
      </c>
      <c r="W45" s="8" t="n">
        <v>5</v>
      </c>
      <c r="X45" s="9" t="n">
        <v>1</v>
      </c>
      <c r="Y45" s="9" t="n">
        <v>2729</v>
      </c>
      <c r="Z45" s="9" t="n"/>
      <c r="AA45" s="7" t="n">
        <v>8</v>
      </c>
      <c r="AB45" s="4" t="inlineStr">
        <is>
          <t>Severe winter/storms; low catastrophic exposure</t>
        </is>
      </c>
      <c r="AC45" s="18" t="n">
        <v>16</v>
      </c>
      <c r="AD45" s="18" t="n">
        <v>51</v>
      </c>
      <c r="AE45" s="18" t="n">
        <v>58</v>
      </c>
    </row>
    <row r="46" ht="15" customHeight="1" s="20">
      <c r="A46" s="7" t="n">
        <v>44</v>
      </c>
      <c r="B46" s="4" t="inlineStr">
        <is>
          <t>Kansas City</t>
        </is>
      </c>
      <c r="C46" s="4" t="inlineStr">
        <is>
          <t>MO</t>
        </is>
      </c>
      <c r="D46" s="4" t="inlineStr">
        <is>
          <t>Urban / Cultural</t>
        </is>
      </c>
      <c r="E46" s="7" t="n">
        <v>1</v>
      </c>
      <c r="F46" s="4" t="inlineStr">
        <is>
          <t>$4,600–$5,700/mo</t>
        </is>
      </c>
      <c r="G46" s="4" t="inlineStr">
        <is>
          <t>$257,000</t>
        </is>
      </c>
      <c r="H46" s="7" t="n">
        <v>8</v>
      </c>
      <c r="I46" s="7" t="n">
        <v>8</v>
      </c>
      <c r="J46" s="7" t="n">
        <v>8</v>
      </c>
      <c r="K46" s="7" t="n">
        <v>6</v>
      </c>
      <c r="L46" s="7" t="n">
        <v>5</v>
      </c>
      <c r="M46" s="7" t="n">
        <v>4</v>
      </c>
      <c r="N46" s="7" t="n">
        <v>5</v>
      </c>
      <c r="O46" s="7" t="n">
        <v>5</v>
      </c>
      <c r="P46" s="7" t="n">
        <v>7</v>
      </c>
      <c r="Q46" s="7" t="n">
        <v>3</v>
      </c>
      <c r="R46" s="7" t="n">
        <v>7</v>
      </c>
      <c r="S46" s="7" t="n">
        <v>4</v>
      </c>
      <c r="T46" s="4" t="inlineStr">
        <is>
          <t>Urban / Metro, Forest / Green</t>
        </is>
      </c>
      <c r="U46" s="4" t="inlineStr">
        <is>
          <t>Urban Neighborhood, Arts &amp; Culture, Historic</t>
        </is>
      </c>
      <c r="V46" s="8" t="n">
        <v>7</v>
      </c>
      <c r="W46" s="8" t="n">
        <v>7</v>
      </c>
      <c r="X46" s="9" t="n">
        <v>0.89</v>
      </c>
      <c r="Y46" s="9" t="n">
        <v>3979</v>
      </c>
      <c r="Z46" s="9" t="n"/>
      <c r="AA46" s="7" t="n">
        <v>6</v>
      </c>
      <c r="AB46" s="4" t="inlineStr">
        <is>
          <t>Tornado Alley severe storms + hail</t>
        </is>
      </c>
      <c r="AC46" s="18" t="n">
        <v>29</v>
      </c>
      <c r="AD46" s="18" t="n">
        <v>18</v>
      </c>
      <c r="AE46" s="18" t="n">
        <v>59</v>
      </c>
    </row>
    <row r="47" ht="15" customHeight="1" s="20">
      <c r="A47" s="7" t="n">
        <v>45</v>
      </c>
      <c r="B47" s="4" t="inlineStr">
        <is>
          <t>St. Louis</t>
        </is>
      </c>
      <c r="C47" s="4" t="inlineStr">
        <is>
          <t>MO</t>
        </is>
      </c>
      <c r="D47" s="4" t="inlineStr">
        <is>
          <t>Major Metro / Historic</t>
        </is>
      </c>
      <c r="E47" s="7" t="n">
        <v>1</v>
      </c>
      <c r="F47" s="4" t="inlineStr">
        <is>
          <t>$4,100–$5,200/mo</t>
        </is>
      </c>
      <c r="G47" s="4" t="inlineStr">
        <is>
          <t>$192,000</t>
        </is>
      </c>
      <c r="H47" s="7" t="n">
        <v>8</v>
      </c>
      <c r="I47" s="7" t="n">
        <v>9</v>
      </c>
      <c r="J47" s="7" t="n">
        <v>10</v>
      </c>
      <c r="K47" s="7" t="n">
        <v>6</v>
      </c>
      <c r="L47" s="7" t="n">
        <v>6</v>
      </c>
      <c r="M47" s="7" t="n">
        <v>6</v>
      </c>
      <c r="N47" s="7" t="n">
        <v>7</v>
      </c>
      <c r="O47" s="7" t="n">
        <v>5</v>
      </c>
      <c r="P47" s="7" t="n">
        <v>8</v>
      </c>
      <c r="Q47" s="7" t="n">
        <v>4</v>
      </c>
      <c r="R47" s="7" t="n">
        <v>7</v>
      </c>
      <c r="S47" s="7" t="n">
        <v>5</v>
      </c>
      <c r="T47" s="4" t="inlineStr">
        <is>
          <t>Urban / Metro, Forest / Green</t>
        </is>
      </c>
      <c r="U47" s="4" t="inlineStr">
        <is>
          <t>Historic, Arts &amp; Culture, Urban Neighborhood</t>
        </is>
      </c>
      <c r="V47" s="8" t="n">
        <v>8</v>
      </c>
      <c r="W47" s="8" t="n">
        <v>8</v>
      </c>
      <c r="X47" s="9" t="n">
        <v>0.89</v>
      </c>
      <c r="Y47" s="9" t="n">
        <v>3979</v>
      </c>
      <c r="Z47" s="9" t="n"/>
      <c r="AA47" s="7" t="n">
        <v>5</v>
      </c>
      <c r="AB47" s="4" t="inlineStr">
        <is>
          <t>Tornado + river flooding + New Madrid seismic proximity + heat</t>
        </is>
      </c>
      <c r="AC47" s="18" t="n">
        <v>32</v>
      </c>
      <c r="AD47" s="18" t="n">
        <v>17</v>
      </c>
      <c r="AE47" s="18" t="n">
        <v>57</v>
      </c>
    </row>
    <row r="48" ht="15" customHeight="1" s="20">
      <c r="A48" s="7" t="n">
        <v>46</v>
      </c>
      <c r="B48" s="4" t="inlineStr">
        <is>
          <t>Bozeman</t>
        </is>
      </c>
      <c r="C48" s="4" t="inlineStr">
        <is>
          <t>MT</t>
        </is>
      </c>
      <c r="D48" s="4" t="inlineStr">
        <is>
          <t>Mountain / College Town</t>
        </is>
      </c>
      <c r="E48" s="7" t="n">
        <v>4</v>
      </c>
      <c r="F48" s="4" t="inlineStr">
        <is>
          <t>$6,900–$8,600/mo</t>
        </is>
      </c>
      <c r="G48" s="4" t="inlineStr">
        <is>
          <t>$734,000</t>
        </is>
      </c>
      <c r="H48" s="7" t="n">
        <v>7</v>
      </c>
      <c r="I48" s="7" t="n">
        <v>4</v>
      </c>
      <c r="J48" s="7" t="n">
        <v>6</v>
      </c>
      <c r="K48" s="7" t="n">
        <v>5</v>
      </c>
      <c r="L48" s="7" t="n">
        <v>5</v>
      </c>
      <c r="M48" s="7" t="n">
        <v>9</v>
      </c>
      <c r="N48" s="7" t="n">
        <v>7</v>
      </c>
      <c r="O48" s="7" t="n">
        <v>7</v>
      </c>
      <c r="P48" s="7" t="n">
        <v>7</v>
      </c>
      <c r="Q48" s="7" t="n">
        <v>2</v>
      </c>
      <c r="R48" s="7" t="n">
        <v>8</v>
      </c>
      <c r="S48" s="7" t="n">
        <v>9</v>
      </c>
      <c r="T48" s="4" t="inlineStr">
        <is>
          <t>Mountain</t>
        </is>
      </c>
      <c r="U48" s="4" t="inlineStr">
        <is>
          <t>College Town, Quiet &amp; Residential, Arts &amp; Culture, Nature-Centric</t>
        </is>
      </c>
      <c r="V48" s="8" t="n">
        <v>3</v>
      </c>
      <c r="W48" s="8" t="n">
        <v>3</v>
      </c>
      <c r="X48" s="9" t="n">
        <v>0.61</v>
      </c>
      <c r="Y48" s="9" t="n">
        <v>3215</v>
      </c>
      <c r="Z48" s="9" t="n"/>
      <c r="AA48" s="7" t="n">
        <v>5</v>
      </c>
      <c r="AB48" s="4" t="inlineStr">
        <is>
          <t>Wildfire + smoke</t>
        </is>
      </c>
      <c r="AC48" s="18" t="n">
        <v>25</v>
      </c>
      <c r="AD48" s="18" t="n">
        <v>86</v>
      </c>
      <c r="AE48" s="18" t="n">
        <v>55</v>
      </c>
    </row>
    <row r="49" ht="15" customHeight="1" s="20">
      <c r="A49" s="7" t="n">
        <v>47</v>
      </c>
      <c r="B49" s="4" t="inlineStr">
        <is>
          <t>Missoula</t>
        </is>
      </c>
      <c r="C49" s="4" t="inlineStr">
        <is>
          <t>MT</t>
        </is>
      </c>
      <c r="D49" s="4" t="inlineStr">
        <is>
          <t>Mountain / Arts &amp; College Town</t>
        </is>
      </c>
      <c r="E49" s="7" t="n">
        <v>3</v>
      </c>
      <c r="F49" s="4" t="inlineStr">
        <is>
          <t>$6,200–$7,700/mo</t>
        </is>
      </c>
      <c r="G49" s="4" t="inlineStr">
        <is>
          <t>$576,000</t>
        </is>
      </c>
      <c r="H49" s="7" t="n">
        <v>5</v>
      </c>
      <c r="I49" s="7" t="n">
        <v>5</v>
      </c>
      <c r="J49" s="7" t="n">
        <v>7</v>
      </c>
      <c r="K49" s="7" t="n">
        <v>5</v>
      </c>
      <c r="L49" s="7" t="n">
        <v>5</v>
      </c>
      <c r="M49" s="7" t="n">
        <v>8</v>
      </c>
      <c r="N49" s="7" t="n">
        <v>6</v>
      </c>
      <c r="O49" s="7" t="n">
        <v>3</v>
      </c>
      <c r="P49" s="7" t="n">
        <v>8</v>
      </c>
      <c r="Q49" s="7" t="n">
        <v>3</v>
      </c>
      <c r="R49" s="7" t="n">
        <v>6</v>
      </c>
      <c r="S49" s="7" t="n">
        <v>9</v>
      </c>
      <c r="T49" s="4" t="inlineStr">
        <is>
          <t>Mountain</t>
        </is>
      </c>
      <c r="U49" s="4" t="inlineStr">
        <is>
          <t>College Town, Quiet &amp; Residential, Arts &amp; Culture, Nature-Centric</t>
        </is>
      </c>
      <c r="V49" s="8" t="n">
        <v>4</v>
      </c>
      <c r="W49" s="8" t="n">
        <v>4</v>
      </c>
      <c r="X49" s="9" t="n">
        <v>0.61</v>
      </c>
      <c r="Y49" s="9" t="n">
        <v>3215</v>
      </c>
      <c r="Z49" s="9" t="n"/>
      <c r="AA49" s="7" t="n">
        <v>5</v>
      </c>
      <c r="AB49" s="4" t="inlineStr">
        <is>
          <t>Wildfire + valley-trapped smoke</t>
        </is>
      </c>
      <c r="AC49" s="18" t="n">
        <v>25</v>
      </c>
      <c r="AD49" s="18" t="n">
        <v>39</v>
      </c>
      <c r="AE49" s="18" t="n">
        <v>50</v>
      </c>
    </row>
    <row r="50" ht="15" customHeight="1" s="20">
      <c r="A50" s="7" t="n">
        <v>48</v>
      </c>
      <c r="B50" s="4" t="inlineStr">
        <is>
          <t>Whitefish</t>
        </is>
      </c>
      <c r="C50" s="4" t="inlineStr">
        <is>
          <t>MT</t>
        </is>
      </c>
      <c r="D50" s="4" t="inlineStr">
        <is>
          <t>Mountain Resort</t>
        </is>
      </c>
      <c r="E50" s="7" t="n">
        <v>4</v>
      </c>
      <c r="F50" s="4" t="inlineStr">
        <is>
          <t>$7,600–$9,500/mo</t>
        </is>
      </c>
      <c r="G50" s="4" t="inlineStr">
        <is>
          <t>$882,000</t>
        </is>
      </c>
      <c r="H50" s="7" t="n">
        <v>6</v>
      </c>
      <c r="I50" s="7" t="n">
        <v>4</v>
      </c>
      <c r="J50" s="7" t="n">
        <v>5</v>
      </c>
      <c r="K50" s="7" t="n">
        <v>5</v>
      </c>
      <c r="L50" s="7" t="n">
        <v>6</v>
      </c>
      <c r="M50" s="7" t="n">
        <v>9</v>
      </c>
      <c r="N50" s="7" t="n">
        <v>5</v>
      </c>
      <c r="O50" s="7" t="n">
        <v>8</v>
      </c>
      <c r="P50" s="7" t="n">
        <v>6</v>
      </c>
      <c r="Q50" s="7" t="n">
        <v>2</v>
      </c>
      <c r="R50" s="7" t="n">
        <v>5</v>
      </c>
      <c r="S50" s="7" t="n">
        <v>4</v>
      </c>
      <c r="T50" s="4" t="inlineStr">
        <is>
          <t>Mountain, Lakeside</t>
        </is>
      </c>
      <c r="U50" s="4" t="inlineStr">
        <is>
          <t>Nature-Centric, Arts &amp; Culture, Historic</t>
        </is>
      </c>
      <c r="V50" s="8" t="n">
        <v>5</v>
      </c>
      <c r="W50" s="8" t="n">
        <v>3</v>
      </c>
      <c r="X50" s="9" t="n">
        <v>0.61</v>
      </c>
      <c r="Y50" s="9" t="n">
        <v>3215</v>
      </c>
      <c r="Z50" s="9" t="n"/>
      <c r="AA50" s="7" t="n">
        <v>5</v>
      </c>
      <c r="AB50" s="4" t="inlineStr">
        <is>
          <t>Mountain wildfire + remoteness</t>
        </is>
      </c>
      <c r="AC50" s="18" t="n">
        <v>22</v>
      </c>
      <c r="AD50" s="18" t="n">
        <v>90</v>
      </c>
      <c r="AE50" s="18" t="n">
        <v>48</v>
      </c>
    </row>
    <row r="51" ht="15" customHeight="1" s="20">
      <c r="A51" s="7" t="n">
        <v>49</v>
      </c>
      <c r="B51" s="4" t="inlineStr">
        <is>
          <t>Asheville</t>
        </is>
      </c>
      <c r="C51" s="4" t="inlineStr">
        <is>
          <t>NC</t>
        </is>
      </c>
      <c r="D51" s="4" t="inlineStr">
        <is>
          <t>Mountain Arts Town</t>
        </is>
      </c>
      <c r="E51" s="7" t="n">
        <v>2</v>
      </c>
      <c r="F51" s="4" t="inlineStr">
        <is>
          <t>$5,400–$6,700/mo</t>
        </is>
      </c>
      <c r="G51" s="4" t="inlineStr">
        <is>
          <t>$464,000</t>
        </is>
      </c>
      <c r="H51" s="7" t="n">
        <v>5</v>
      </c>
      <c r="I51" s="7" t="n">
        <v>7</v>
      </c>
      <c r="J51" s="7" t="n">
        <v>5</v>
      </c>
      <c r="K51" s="7" t="n">
        <v>6</v>
      </c>
      <c r="L51" s="7" t="n">
        <v>7</v>
      </c>
      <c r="M51" s="7" t="n">
        <v>10</v>
      </c>
      <c r="N51" s="7" t="n">
        <v>6</v>
      </c>
      <c r="O51" s="7" t="n">
        <v>5</v>
      </c>
      <c r="P51" s="7" t="n">
        <v>9</v>
      </c>
      <c r="Q51" s="7" t="n">
        <v>5</v>
      </c>
      <c r="R51" s="7" t="n">
        <v>8</v>
      </c>
      <c r="S51" s="7" t="n">
        <v>7</v>
      </c>
      <c r="T51" s="4" t="inlineStr">
        <is>
          <t>Mountain</t>
        </is>
      </c>
      <c r="U51" s="4" t="inlineStr">
        <is>
          <t>Historic, Arts &amp; Culture, Nature-Centric</t>
        </is>
      </c>
      <c r="V51" s="8" t="n">
        <v>7</v>
      </c>
      <c r="W51" s="8" t="n">
        <v>4</v>
      </c>
      <c r="X51" s="9" t="n">
        <v>0.66</v>
      </c>
      <c r="Y51" s="9" t="n">
        <v>3124</v>
      </c>
      <c r="Z51" s="10" t="inlineStr">
        <is>
          <t>Coastal above state avg</t>
        </is>
      </c>
      <c r="AA51" s="7" t="n">
        <v>5</v>
      </c>
      <c r="AB51" s="4" t="inlineStr">
        <is>
          <t>Former 'climate haven'; Hurricane Helene caused catastrophic inland flooding (2024)</t>
        </is>
      </c>
      <c r="AC51" s="18" t="n">
        <v>38</v>
      </c>
      <c r="AD51" s="18" t="n">
        <v>10</v>
      </c>
      <c r="AE51" s="18" t="n">
        <v>60</v>
      </c>
    </row>
    <row r="52" ht="15" customHeight="1" s="20">
      <c r="A52" s="7" t="n">
        <v>50</v>
      </c>
      <c r="B52" s="4" t="inlineStr">
        <is>
          <t>Beaufort</t>
        </is>
      </c>
      <c r="C52" s="4" t="inlineStr">
        <is>
          <t>NC</t>
        </is>
      </c>
      <c r="D52" s="4" t="inlineStr">
        <is>
          <t>Historic / Coastal / Small Town</t>
        </is>
      </c>
      <c r="E52" s="7" t="n">
        <v>2</v>
      </c>
      <c r="F52" s="4" t="inlineStr">
        <is>
          <t>$5,300–$6,600/mo</t>
        </is>
      </c>
      <c r="G52" s="4" t="inlineStr">
        <is>
          <t>$434,000</t>
        </is>
      </c>
      <c r="H52" s="7" t="n">
        <v>4</v>
      </c>
      <c r="I52" s="7" t="n">
        <v>7</v>
      </c>
      <c r="J52" s="7" t="n">
        <v>5</v>
      </c>
      <c r="K52" s="7" t="n">
        <v>7</v>
      </c>
      <c r="L52" s="7" t="n">
        <v>5</v>
      </c>
      <c r="M52" s="7" t="n">
        <v>8</v>
      </c>
      <c r="N52" s="7" t="n">
        <v>7</v>
      </c>
      <c r="O52" s="7" t="n">
        <v>8</v>
      </c>
      <c r="P52" s="7" t="n">
        <v>8</v>
      </c>
      <c r="Q52" s="7" t="n">
        <v>7</v>
      </c>
      <c r="R52" s="7" t="n">
        <v>5</v>
      </c>
      <c r="S52" s="7" t="n">
        <v>6</v>
      </c>
      <c r="T52" s="4" t="inlineStr">
        <is>
          <t>Beach / Coastal, Lakeside</t>
        </is>
      </c>
      <c r="U52" s="4" t="inlineStr">
        <is>
          <t>Historic, Quiet &amp; Residential, Nature-Centric</t>
        </is>
      </c>
      <c r="V52" s="8" t="n">
        <v>9</v>
      </c>
      <c r="W52" s="8" t="n">
        <v>6</v>
      </c>
      <c r="X52" s="9" t="n">
        <v>0.66</v>
      </c>
      <c r="Y52" s="9" t="n">
        <v>3124</v>
      </c>
      <c r="Z52" s="10" t="inlineStr">
        <is>
          <t>Coastal above state avg</t>
        </is>
      </c>
      <c r="AA52" s="7" t="n">
        <v>2</v>
      </c>
      <c r="AB52" s="4" t="inlineStr">
        <is>
          <t>Crystal Coast barrier — extreme hurricane + surge exposure</t>
        </is>
      </c>
      <c r="AC52" s="18" t="n">
        <v>44</v>
      </c>
      <c r="AD52" s="18" t="n">
        <v>1</v>
      </c>
      <c r="AE52" s="18" t="n">
        <v>62</v>
      </c>
    </row>
    <row r="53" ht="15" customHeight="1" s="20">
      <c r="A53" s="7" t="n">
        <v>51</v>
      </c>
      <c r="B53" s="4" t="inlineStr">
        <is>
          <t>Raleigh</t>
        </is>
      </c>
      <c r="C53" s="4" t="inlineStr">
        <is>
          <t>NC</t>
        </is>
      </c>
      <c r="D53" s="4" t="inlineStr">
        <is>
          <t>Metro / Research</t>
        </is>
      </c>
      <c r="E53" s="7" t="n">
        <v>2</v>
      </c>
      <c r="F53" s="4" t="inlineStr">
        <is>
          <t>$5,400–$6,700/mo</t>
        </is>
      </c>
      <c r="G53" s="4" t="inlineStr">
        <is>
          <t>$436,000</t>
        </is>
      </c>
      <c r="H53" s="7" t="n">
        <v>9</v>
      </c>
      <c r="I53" s="7" t="n">
        <v>7</v>
      </c>
      <c r="J53" s="7" t="n">
        <v>10</v>
      </c>
      <c r="K53" s="7" t="n">
        <v>7</v>
      </c>
      <c r="L53" s="7" t="n">
        <v>4</v>
      </c>
      <c r="M53" s="7" t="n">
        <v>6</v>
      </c>
      <c r="N53" s="7" t="n">
        <v>6</v>
      </c>
      <c r="O53" s="7" t="n">
        <v>6</v>
      </c>
      <c r="P53" s="7" t="n">
        <v>7</v>
      </c>
      <c r="Q53" s="7" t="n">
        <v>5</v>
      </c>
      <c r="R53" s="7" t="n">
        <v>5</v>
      </c>
      <c r="S53" s="7" t="n">
        <v>4</v>
      </c>
      <c r="T53" s="4" t="inlineStr">
        <is>
          <t>Urban / Metro</t>
        </is>
      </c>
      <c r="U53" s="4" t="inlineStr">
        <is>
          <t>Historic, Arts &amp; Culture, Nature-Centric</t>
        </is>
      </c>
      <c r="V53" s="8" t="n">
        <v>8</v>
      </c>
      <c r="W53" s="8" t="n">
        <v>7</v>
      </c>
      <c r="X53" s="9" t="n">
        <v>0.66</v>
      </c>
      <c r="Y53" s="9" t="n">
        <v>3124</v>
      </c>
      <c r="Z53" s="10" t="inlineStr">
        <is>
          <t>Coastal above state avg</t>
        </is>
      </c>
      <c r="AA53" s="7" t="n">
        <v>7</v>
      </c>
      <c r="AB53" s="4" t="inlineStr">
        <is>
          <t>Piedmont; hurricane remnants only, low exposure</t>
        </is>
      </c>
      <c r="AC53" s="18" t="n">
        <v>41</v>
      </c>
      <c r="AD53" s="18" t="n">
        <v>5</v>
      </c>
      <c r="AE53" s="18" t="n">
        <v>60</v>
      </c>
    </row>
    <row r="54" ht="15" customHeight="1" s="20">
      <c r="A54" s="7" t="n">
        <v>52</v>
      </c>
      <c r="B54" s="4" t="inlineStr">
        <is>
          <t>Wilmington</t>
        </is>
      </c>
      <c r="C54" s="4" t="inlineStr">
        <is>
          <t>NC</t>
        </is>
      </c>
      <c r="D54" s="4" t="inlineStr">
        <is>
          <t>Beach / Historic</t>
        </is>
      </c>
      <c r="E54" s="7" t="n">
        <v>2</v>
      </c>
      <c r="F54" s="4" t="inlineStr">
        <is>
          <t>$5,300–$6,600/mo</t>
        </is>
      </c>
      <c r="G54" s="4" t="inlineStr">
        <is>
          <t>$423,000</t>
        </is>
      </c>
      <c r="H54" s="7" t="n">
        <v>6</v>
      </c>
      <c r="I54" s="7" t="n">
        <v>7</v>
      </c>
      <c r="J54" s="7" t="n">
        <v>5</v>
      </c>
      <c r="K54" s="7" t="n">
        <v>7</v>
      </c>
      <c r="L54" s="7" t="n">
        <v>5</v>
      </c>
      <c r="M54" s="7" t="n">
        <v>7</v>
      </c>
      <c r="N54" s="7" t="n">
        <v>6</v>
      </c>
      <c r="O54" s="7" t="n">
        <v>3</v>
      </c>
      <c r="P54" s="7" t="n">
        <v>7</v>
      </c>
      <c r="Q54" s="7" t="n">
        <v>6</v>
      </c>
      <c r="R54" s="7" t="n">
        <v>6</v>
      </c>
      <c r="S54" s="7" t="n">
        <v>4</v>
      </c>
      <c r="T54" s="4" t="inlineStr">
        <is>
          <t>Beach / Coastal, Lakeside</t>
        </is>
      </c>
      <c r="U54" s="4" t="inlineStr">
        <is>
          <t>Historic, Arts &amp; Culture, Nature-Centric</t>
        </is>
      </c>
      <c r="V54" s="8" t="n">
        <v>9</v>
      </c>
      <c r="W54" s="8" t="n">
        <v>7</v>
      </c>
      <c r="X54" s="9" t="n">
        <v>0.66</v>
      </c>
      <c r="Y54" s="9" t="n">
        <v>3124</v>
      </c>
      <c r="Z54" s="10" t="inlineStr">
        <is>
          <t>Coastal above state avg</t>
        </is>
      </c>
      <c r="AA54" s="7" t="n">
        <v>2</v>
      </c>
      <c r="AB54" s="4" t="inlineStr">
        <is>
          <t>Direct hurricane-landfall corridor (Florence) + surge</t>
        </is>
      </c>
      <c r="AC54" s="18" t="n">
        <v>45</v>
      </c>
      <c r="AD54" s="18" t="n">
        <v>2</v>
      </c>
      <c r="AE54" s="18" t="n">
        <v>62</v>
      </c>
    </row>
    <row r="55" ht="15" customHeight="1" s="20">
      <c r="A55" s="7" t="n">
        <v>53</v>
      </c>
      <c r="B55" s="4" t="inlineStr">
        <is>
          <t>Nashua</t>
        </is>
      </c>
      <c r="C55" s="4" t="inlineStr">
        <is>
          <t>NH</t>
        </is>
      </c>
      <c r="D55" s="4" t="inlineStr">
        <is>
          <t>New England / Value</t>
        </is>
      </c>
      <c r="E55" s="7" t="n">
        <v>3</v>
      </c>
      <c r="F55" s="4" t="inlineStr">
        <is>
          <t>$6,000–$7,500/mo</t>
        </is>
      </c>
      <c r="G55" s="4" t="inlineStr">
        <is>
          <t>$517,000</t>
        </is>
      </c>
      <c r="H55" s="7" t="n">
        <v>8</v>
      </c>
      <c r="I55" s="7" t="n">
        <v>5</v>
      </c>
      <c r="J55" s="7" t="n">
        <v>8</v>
      </c>
      <c r="K55" s="7" t="n">
        <v>9</v>
      </c>
      <c r="L55" s="7" t="n">
        <v>6</v>
      </c>
      <c r="M55" s="7" t="n">
        <v>5</v>
      </c>
      <c r="N55" s="7" t="n">
        <v>5</v>
      </c>
      <c r="O55" s="7" t="n">
        <v>6</v>
      </c>
      <c r="P55" s="7" t="n">
        <v>6</v>
      </c>
      <c r="Q55" s="7" t="n">
        <v>2</v>
      </c>
      <c r="R55" s="7" t="n">
        <v>7</v>
      </c>
      <c r="S55" s="7" t="n">
        <v>6</v>
      </c>
      <c r="T55" s="4" t="inlineStr">
        <is>
          <t>Lakeside, Forest / Green</t>
        </is>
      </c>
      <c r="U55" s="4" t="inlineStr">
        <is>
          <t>Historic, Quiet &amp; Residential, Arts &amp; Culture</t>
        </is>
      </c>
      <c r="V55" s="8" t="n">
        <v>6</v>
      </c>
      <c r="W55" s="8" t="n">
        <v>5</v>
      </c>
      <c r="X55" s="9" t="n">
        <v>1.5</v>
      </c>
      <c r="Y55" s="9" t="n">
        <v>1300</v>
      </c>
      <c r="Z55" s="9" t="n"/>
      <c r="AA55" s="7" t="n">
        <v>8</v>
      </c>
      <c r="AB55" s="4" t="inlineStr">
        <is>
          <t>Low catastrophic exposure; occasional flooding/winter storms</t>
        </is>
      </c>
      <c r="AC55" s="18" t="n">
        <v>24</v>
      </c>
      <c r="AD55" s="18" t="n">
        <v>60</v>
      </c>
      <c r="AE55" s="18" t="n">
        <v>57</v>
      </c>
    </row>
    <row r="56" ht="15" customHeight="1" s="20">
      <c r="A56" s="7" t="n">
        <v>54</v>
      </c>
      <c r="B56" s="4" t="inlineStr">
        <is>
          <t>Rio Rancho</t>
        </is>
      </c>
      <c r="C56" s="4" t="inlineStr">
        <is>
          <t>NM</t>
        </is>
      </c>
      <c r="D56" s="4" t="inlineStr">
        <is>
          <t>Desert Suburb</t>
        </is>
      </c>
      <c r="E56" s="7" t="n">
        <v>2</v>
      </c>
      <c r="F56" s="4" t="inlineStr">
        <is>
          <t>$5,000–$6,200/mo</t>
        </is>
      </c>
      <c r="G56" s="4" t="inlineStr">
        <is>
          <t>$366,000</t>
        </is>
      </c>
      <c r="H56" s="7" t="n">
        <v>7</v>
      </c>
      <c r="I56" s="7" t="n">
        <v>7</v>
      </c>
      <c r="J56" s="7" t="n">
        <v>7</v>
      </c>
      <c r="K56" s="7" t="n">
        <v>6</v>
      </c>
      <c r="L56" s="7" t="n">
        <v>4</v>
      </c>
      <c r="M56" s="7" t="n">
        <v>5</v>
      </c>
      <c r="N56" s="7" t="n">
        <v>6</v>
      </c>
      <c r="O56" s="7" t="n">
        <v>7</v>
      </c>
      <c r="P56" s="7" t="n">
        <v>5</v>
      </c>
      <c r="Q56" s="7" t="n">
        <v>6</v>
      </c>
      <c r="R56" s="7" t="n">
        <v>8</v>
      </c>
      <c r="S56" s="7" t="n">
        <v>7</v>
      </c>
      <c r="T56" s="4" t="inlineStr">
        <is>
          <t>Desert, Mountain</t>
        </is>
      </c>
      <c r="U56" s="4" t="inlineStr">
        <is>
          <t>Nature-Centric, Arts &amp; Culture</t>
        </is>
      </c>
      <c r="V56" s="8" t="n">
        <v>2</v>
      </c>
      <c r="W56" s="8" t="n">
        <v>7</v>
      </c>
      <c r="X56" s="9" t="n">
        <v>0.63</v>
      </c>
      <c r="Y56" s="9" t="n">
        <v>2869</v>
      </c>
      <c r="Z56" s="9" t="n"/>
      <c r="AA56" s="7" t="n">
        <v>6</v>
      </c>
      <c r="AB56" s="4" t="inlineStr">
        <is>
          <t>High-desert wildfire/drought/heat; milder than AZ valley</t>
        </is>
      </c>
      <c r="AC56" s="18" t="n">
        <v>36</v>
      </c>
      <c r="AD56" s="18" t="n">
        <v>9</v>
      </c>
      <c r="AE56" s="18" t="n">
        <v>76</v>
      </c>
    </row>
    <row r="57" ht="15" customHeight="1" s="20">
      <c r="A57" s="7" t="n">
        <v>55</v>
      </c>
      <c r="B57" s="4" t="inlineStr">
        <is>
          <t>Santa Fe</t>
        </is>
      </c>
      <c r="C57" s="4" t="inlineStr">
        <is>
          <t>NM</t>
        </is>
      </c>
      <c r="D57" s="4" t="inlineStr">
        <is>
          <t>Historic Arts Capital</t>
        </is>
      </c>
      <c r="E57" s="7" t="n">
        <v>3</v>
      </c>
      <c r="F57" s="4" t="inlineStr">
        <is>
          <t>$6,000–$7,500/mo</t>
        </is>
      </c>
      <c r="G57" s="4" t="inlineStr">
        <is>
          <t>$590,000</t>
        </is>
      </c>
      <c r="H57" s="7" t="n">
        <v>5</v>
      </c>
      <c r="I57" s="7" t="n">
        <v>5</v>
      </c>
      <c r="J57" s="7" t="n">
        <v>7</v>
      </c>
      <c r="K57" s="7" t="n">
        <v>5</v>
      </c>
      <c r="L57" s="7" t="n">
        <v>6</v>
      </c>
      <c r="M57" s="7" t="n">
        <v>7</v>
      </c>
      <c r="N57" s="7" t="n">
        <v>6</v>
      </c>
      <c r="O57" s="7" t="n">
        <v>3</v>
      </c>
      <c r="P57" s="7" t="n">
        <v>10</v>
      </c>
      <c r="Q57" s="7" t="n">
        <v>4</v>
      </c>
      <c r="R57" s="7" t="n">
        <v>8</v>
      </c>
      <c r="S57" s="7" t="n">
        <v>8</v>
      </c>
      <c r="T57" s="4" t="inlineStr">
        <is>
          <t>Mountain, Desert</t>
        </is>
      </c>
      <c r="U57" s="4" t="inlineStr">
        <is>
          <t>Historic, Quiet &amp; Residential, Arts &amp; Culture</t>
        </is>
      </c>
      <c r="V57" s="8" t="n">
        <v>3</v>
      </c>
      <c r="W57" s="8" t="n">
        <v>5</v>
      </c>
      <c r="X57" s="9" t="n">
        <v>0.63</v>
      </c>
      <c r="Y57" s="9" t="n">
        <v>2869</v>
      </c>
      <c r="Z57" s="9" t="n"/>
      <c r="AA57" s="7" t="n">
        <v>5</v>
      </c>
      <c r="AB57" s="4" t="inlineStr">
        <is>
          <t>Wildfire (record 2022 fire) + drought + heat</t>
        </is>
      </c>
      <c r="AC57" s="18" t="n">
        <v>32</v>
      </c>
      <c r="AD57" s="18" t="n">
        <v>30</v>
      </c>
      <c r="AE57" s="18" t="n">
        <v>74</v>
      </c>
    </row>
    <row r="58" ht="15" customHeight="1" s="20">
      <c r="A58" s="7" t="n">
        <v>56</v>
      </c>
      <c r="B58" s="4" t="inlineStr">
        <is>
          <t>Las Vegas</t>
        </is>
      </c>
      <c r="C58" s="4" t="inlineStr">
        <is>
          <t>NV</t>
        </is>
      </c>
      <c r="D58" s="4" t="inlineStr">
        <is>
          <t>Major Metro / Entertainment</t>
        </is>
      </c>
      <c r="E58" s="7" t="n">
        <v>2</v>
      </c>
      <c r="F58" s="4" t="inlineStr">
        <is>
          <t>$5,400–$6,700/mo</t>
        </is>
      </c>
      <c r="G58" s="4" t="inlineStr">
        <is>
          <t>$426,000</t>
        </is>
      </c>
      <c r="H58" s="7" t="n">
        <v>10</v>
      </c>
      <c r="I58" s="7" t="n">
        <v>7</v>
      </c>
      <c r="J58" s="7" t="n">
        <v>7</v>
      </c>
      <c r="K58" s="7" t="n">
        <v>10</v>
      </c>
      <c r="L58" s="7" t="n">
        <v>3</v>
      </c>
      <c r="M58" s="7" t="n">
        <v>7</v>
      </c>
      <c r="N58" s="7" t="n">
        <v>7</v>
      </c>
      <c r="O58" s="7" t="n">
        <v>5</v>
      </c>
      <c r="P58" s="7" t="n">
        <v>8</v>
      </c>
      <c r="Q58" s="7" t="n">
        <v>8</v>
      </c>
      <c r="R58" s="7" t="n">
        <v>3</v>
      </c>
      <c r="S58" s="7" t="n">
        <v>7</v>
      </c>
      <c r="T58" s="4" t="inlineStr">
        <is>
          <t>Desert, Urban / Metro</t>
        </is>
      </c>
      <c r="U58" s="4" t="inlineStr">
        <is>
          <t>Resort / Golf, Urban Neighborhood, Arts &amp; Culture</t>
        </is>
      </c>
      <c r="V58" s="8" t="n">
        <v>1</v>
      </c>
      <c r="W58" s="8" t="n">
        <v>10</v>
      </c>
      <c r="X58" s="9" t="n">
        <v>0.5</v>
      </c>
      <c r="Y58" s="9" t="n">
        <v>1774</v>
      </c>
      <c r="Z58" s="9" t="n"/>
      <c r="AA58" s="7" t="n">
        <v>5</v>
      </c>
      <c r="AB58" s="4" t="inlineStr">
        <is>
          <t>Extreme heat + water scarcity</t>
        </is>
      </c>
      <c r="AC58" s="18" t="n">
        <v>48</v>
      </c>
      <c r="AD58" s="18" t="n">
        <v>1</v>
      </c>
      <c r="AE58" s="18" t="n">
        <v>85</v>
      </c>
    </row>
    <row r="59" ht="15" customHeight="1" s="20">
      <c r="A59" s="7" t="n">
        <v>57</v>
      </c>
      <c r="B59" s="4" t="inlineStr">
        <is>
          <t>Saratoga Springs</t>
        </is>
      </c>
      <c r="C59" s="4" t="inlineStr">
        <is>
          <t>NY</t>
        </is>
      </c>
      <c r="D59" s="4" t="inlineStr">
        <is>
          <t>Historic / Arts</t>
        </is>
      </c>
      <c r="E59" s="7" t="n">
        <v>4</v>
      </c>
      <c r="F59" s="4" t="inlineStr">
        <is>
          <t>$6,900–$8,600/mo</t>
        </is>
      </c>
      <c r="G59" s="4" t="inlineStr">
        <is>
          <t>$663,000</t>
        </is>
      </c>
      <c r="H59" s="7" t="n">
        <v>6</v>
      </c>
      <c r="I59" s="7" t="n">
        <v>4</v>
      </c>
      <c r="J59" s="7" t="n">
        <v>6</v>
      </c>
      <c r="K59" s="7" t="n">
        <v>2</v>
      </c>
      <c r="L59" s="7" t="n">
        <v>8</v>
      </c>
      <c r="M59" s="7" t="n">
        <v>7</v>
      </c>
      <c r="N59" s="7" t="n">
        <v>6</v>
      </c>
      <c r="O59" s="7" t="n">
        <v>8</v>
      </c>
      <c r="P59" s="7" t="n">
        <v>8</v>
      </c>
      <c r="Q59" s="7" t="n">
        <v>2</v>
      </c>
      <c r="R59" s="7" t="n">
        <v>7</v>
      </c>
      <c r="S59" s="7" t="n">
        <v>6</v>
      </c>
      <c r="T59" s="4" t="inlineStr">
        <is>
          <t>Lakeside</t>
        </is>
      </c>
      <c r="U59" s="4" t="inlineStr">
        <is>
          <t>Historic, Arts &amp; Culture, Nature-Centric</t>
        </is>
      </c>
      <c r="V59" s="8" t="n">
        <v>6</v>
      </c>
      <c r="W59" s="8" t="n">
        <v>5</v>
      </c>
      <c r="X59" s="9" t="n">
        <v>1.3</v>
      </c>
      <c r="Y59" s="9" t="n">
        <v>1683</v>
      </c>
      <c r="Z59" s="9" t="n"/>
      <c r="AA59" s="7" t="n">
        <v>8</v>
      </c>
      <c r="AB59" s="4" t="inlineStr">
        <is>
          <t>Upstate; low catastrophic exposure</t>
        </is>
      </c>
      <c r="AC59" s="18" t="n">
        <v>22</v>
      </c>
      <c r="AD59" s="18" t="n">
        <v>60</v>
      </c>
      <c r="AE59" s="18" t="n">
        <v>52</v>
      </c>
    </row>
    <row r="60" ht="15" customHeight="1" s="20">
      <c r="A60" s="7" t="n">
        <v>58</v>
      </c>
      <c r="B60" s="4" t="inlineStr">
        <is>
          <t>Columbus</t>
        </is>
      </c>
      <c r="C60" s="4" t="inlineStr">
        <is>
          <t>OH</t>
        </is>
      </c>
      <c r="D60" s="4" t="inlineStr">
        <is>
          <t>Major Metro / College Town</t>
        </is>
      </c>
      <c r="E60" s="7" t="n">
        <v>1</v>
      </c>
      <c r="F60" s="4" t="inlineStr">
        <is>
          <t>$4,500–$5,600/mo</t>
        </is>
      </c>
      <c r="G60" s="4" t="inlineStr">
        <is>
          <t>$251,000</t>
        </is>
      </c>
      <c r="H60" s="7" t="n">
        <v>8</v>
      </c>
      <c r="I60" s="7" t="n">
        <v>8</v>
      </c>
      <c r="J60" s="7" t="n">
        <v>9</v>
      </c>
      <c r="K60" s="7" t="n">
        <v>6</v>
      </c>
      <c r="L60" s="7" t="n">
        <v>5</v>
      </c>
      <c r="M60" s="7" t="n">
        <v>5</v>
      </c>
      <c r="N60" s="7" t="n">
        <v>7</v>
      </c>
      <c r="O60" s="7" t="n">
        <v>6</v>
      </c>
      <c r="P60" s="7" t="n">
        <v>8</v>
      </c>
      <c r="Q60" s="7" t="n">
        <v>3</v>
      </c>
      <c r="R60" s="7" t="n">
        <v>6</v>
      </c>
      <c r="S60" s="7" t="n">
        <v>4</v>
      </c>
      <c r="T60" s="4" t="inlineStr">
        <is>
          <t>Urban / Metro, Forest / Green</t>
        </is>
      </c>
      <c r="U60" s="4" t="inlineStr">
        <is>
          <t>Urban Neighborhood, Arts &amp; Culture, College Town</t>
        </is>
      </c>
      <c r="V60" s="8" t="n">
        <v>7</v>
      </c>
      <c r="W60" s="8" t="n">
        <v>6</v>
      </c>
      <c r="X60" s="9" t="n">
        <v>1.36</v>
      </c>
      <c r="Y60" s="9" t="n">
        <v>2118</v>
      </c>
      <c r="Z60" s="9" t="n"/>
      <c r="AA60" s="7" t="n">
        <v>8</v>
      </c>
      <c r="AB60" s="4" t="inlineStr">
        <is>
          <t>Low catastrophic exposure; occasional severe storms</t>
        </is>
      </c>
      <c r="AC60" s="18" t="n">
        <v>29</v>
      </c>
      <c r="AD60" s="18" t="n">
        <v>22</v>
      </c>
      <c r="AE60" s="18" t="n">
        <v>49</v>
      </c>
    </row>
    <row r="61" ht="15" customHeight="1" s="20">
      <c r="A61" s="7" t="n">
        <v>59</v>
      </c>
      <c r="B61" s="4" t="inlineStr">
        <is>
          <t>Bend</t>
        </is>
      </c>
      <c r="C61" s="4" t="inlineStr">
        <is>
          <t>OR</t>
        </is>
      </c>
      <c r="D61" s="4" t="inlineStr">
        <is>
          <t>Outdoor / Growing</t>
        </is>
      </c>
      <c r="E61" s="7" t="n">
        <v>4</v>
      </c>
      <c r="F61" s="4" t="inlineStr">
        <is>
          <t>$6,900–$8,600/mo</t>
        </is>
      </c>
      <c r="G61" s="4" t="inlineStr">
        <is>
          <t>$737,000</t>
        </is>
      </c>
      <c r="H61" s="7" t="n">
        <v>6</v>
      </c>
      <c r="I61" s="7" t="n">
        <v>4</v>
      </c>
      <c r="J61" s="7" t="n">
        <v>8</v>
      </c>
      <c r="K61" s="7" t="n">
        <v>4</v>
      </c>
      <c r="L61" s="7" t="n">
        <v>7</v>
      </c>
      <c r="M61" s="7" t="n">
        <v>10</v>
      </c>
      <c r="N61" s="7" t="n">
        <v>7</v>
      </c>
      <c r="O61" s="7" t="n">
        <v>8</v>
      </c>
      <c r="P61" s="7" t="n">
        <v>7</v>
      </c>
      <c r="Q61" s="7" t="n">
        <v>5</v>
      </c>
      <c r="R61" s="7" t="n">
        <v>8</v>
      </c>
      <c r="S61" s="7" t="n">
        <v>9</v>
      </c>
      <c r="T61" s="4" t="inlineStr">
        <is>
          <t>Mountain, Lakeside</t>
        </is>
      </c>
      <c r="U61" s="4" t="inlineStr">
        <is>
          <t>Nature-Centric</t>
        </is>
      </c>
      <c r="V61" s="8" t="n">
        <v>3</v>
      </c>
      <c r="W61" s="8" t="n">
        <v>4</v>
      </c>
      <c r="X61" s="9" t="n">
        <v>0.8100000000000001</v>
      </c>
      <c r="Y61" s="9" t="n">
        <v>1572</v>
      </c>
      <c r="Z61" s="9" t="n"/>
      <c r="AA61" s="7" t="n">
        <v>4</v>
      </c>
      <c r="AB61" s="4" t="inlineStr">
        <is>
          <t>Wildfire + smoke + drought, worsening</t>
        </is>
      </c>
      <c r="AC61" s="18" t="n">
        <v>32</v>
      </c>
      <c r="AD61" s="18" t="n">
        <v>24</v>
      </c>
      <c r="AE61" s="18" t="n">
        <v>60</v>
      </c>
    </row>
    <row r="62" ht="15" customHeight="1" s="20">
      <c r="A62" s="7" t="n">
        <v>60</v>
      </c>
      <c r="B62" s="4" t="inlineStr">
        <is>
          <t>Eugene</t>
        </is>
      </c>
      <c r="C62" s="4" t="inlineStr">
        <is>
          <t>OR</t>
        </is>
      </c>
      <c r="D62" s="4" t="inlineStr">
        <is>
          <t>College / Outdoor</t>
        </is>
      </c>
      <c r="E62" s="7" t="n">
        <v>2</v>
      </c>
      <c r="F62" s="4" t="inlineStr">
        <is>
          <t>$5,600–$7,000/mo</t>
        </is>
      </c>
      <c r="G62" s="4" t="inlineStr">
        <is>
          <t>$484,000</t>
        </is>
      </c>
      <c r="H62" s="7" t="n">
        <v>5</v>
      </c>
      <c r="I62" s="7" t="n">
        <v>6</v>
      </c>
      <c r="J62" s="7" t="n">
        <v>7</v>
      </c>
      <c r="K62" s="7" t="n">
        <v>4</v>
      </c>
      <c r="L62" s="7" t="n">
        <v>7</v>
      </c>
      <c r="M62" s="7" t="n">
        <v>8</v>
      </c>
      <c r="N62" s="7" t="n">
        <v>6</v>
      </c>
      <c r="O62" s="7" t="n">
        <v>5</v>
      </c>
      <c r="P62" s="7" t="n">
        <v>7</v>
      </c>
      <c r="Q62" s="7" t="n">
        <v>5</v>
      </c>
      <c r="R62" s="7" t="n">
        <v>7</v>
      </c>
      <c r="S62" s="7" t="n">
        <v>8</v>
      </c>
      <c r="T62" s="4" t="inlineStr">
        <is>
          <t>Mountain, Lakeside</t>
        </is>
      </c>
      <c r="U62" s="4" t="inlineStr">
        <is>
          <t>College Town, Arts &amp; Culture, Nature-Centric</t>
        </is>
      </c>
      <c r="V62" s="8" t="n">
        <v>6</v>
      </c>
      <c r="W62" s="8" t="n">
        <v>4</v>
      </c>
      <c r="X62" s="9" t="n">
        <v>0.8100000000000001</v>
      </c>
      <c r="Y62" s="9" t="n">
        <v>1572</v>
      </c>
      <c r="Z62" s="9" t="n"/>
      <c r="AA62" s="7" t="n">
        <v>5</v>
      </c>
      <c r="AB62" s="4" t="inlineStr">
        <is>
          <t>Wildfire smoke + 2020-fire proximity; wetter winters</t>
        </is>
      </c>
      <c r="AC62" s="18" t="n">
        <v>41</v>
      </c>
      <c r="AD62" s="18" t="n">
        <v>4</v>
      </c>
      <c r="AE62" s="18" t="n">
        <v>44</v>
      </c>
    </row>
    <row r="63" ht="15" customHeight="1" s="20">
      <c r="A63" s="7" t="n">
        <v>61</v>
      </c>
      <c r="B63" s="4" t="inlineStr">
        <is>
          <t>Philadelphia</t>
        </is>
      </c>
      <c r="C63" s="4" t="inlineStr">
        <is>
          <t>PA</t>
        </is>
      </c>
      <c r="D63" s="4" t="inlineStr">
        <is>
          <t>Historic / Urban / College Town</t>
        </is>
      </c>
      <c r="E63" s="7" t="n">
        <v>1</v>
      </c>
      <c r="F63" s="4" t="inlineStr">
        <is>
          <t>$4,200–$5,200/mo</t>
        </is>
      </c>
      <c r="G63" s="4" t="inlineStr">
        <is>
          <t>$237,000</t>
        </is>
      </c>
      <c r="H63" s="7" t="n">
        <v>8</v>
      </c>
      <c r="I63" s="7" t="n">
        <v>9</v>
      </c>
      <c r="J63" s="7" t="n">
        <v>10</v>
      </c>
      <c r="K63" s="7" t="n">
        <v>6</v>
      </c>
      <c r="L63" s="7" t="n">
        <v>8</v>
      </c>
      <c r="M63" s="7" t="n">
        <v>5</v>
      </c>
      <c r="N63" s="7" t="n">
        <v>7</v>
      </c>
      <c r="O63" s="7" t="n">
        <v>6</v>
      </c>
      <c r="P63" s="7" t="n">
        <v>9</v>
      </c>
      <c r="Q63" s="7" t="n">
        <v>5</v>
      </c>
      <c r="R63" s="7" t="n">
        <v>6</v>
      </c>
      <c r="S63" s="7" t="n">
        <v>5</v>
      </c>
      <c r="T63" s="4" t="inlineStr">
        <is>
          <t>Urban / Metro, Beach / Coastal</t>
        </is>
      </c>
      <c r="U63" s="4" t="inlineStr">
        <is>
          <t>Historic, Arts &amp; Culture, Urban Neighborhood, Nature-Centric, Big City Energy</t>
        </is>
      </c>
      <c r="V63" s="8" t="n">
        <v>7</v>
      </c>
      <c r="W63" s="8" t="n">
        <v>6</v>
      </c>
      <c r="X63" s="9" t="n">
        <v>1.26</v>
      </c>
      <c r="Y63" s="9" t="n">
        <v>1529</v>
      </c>
      <c r="Z63" s="9" t="n"/>
      <c r="AA63" s="7" t="n">
        <v>7</v>
      </c>
      <c r="AB63" s="4" t="inlineStr">
        <is>
          <t>Riverine/coastal flood pockets + heat; low catastrophic</t>
        </is>
      </c>
      <c r="AC63" s="18" t="n">
        <v>35</v>
      </c>
      <c r="AD63" s="18" t="n">
        <v>23</v>
      </c>
      <c r="AE63" s="18" t="n">
        <v>56</v>
      </c>
    </row>
    <row r="64" ht="15" customHeight="1" s="20">
      <c r="A64" s="7" t="n">
        <v>62</v>
      </c>
      <c r="B64" s="4" t="inlineStr">
        <is>
          <t>Pittsburgh</t>
        </is>
      </c>
      <c r="C64" s="4" t="inlineStr">
        <is>
          <t>PA</t>
        </is>
      </c>
      <c r="D64" s="4" t="inlineStr">
        <is>
          <t>College Town / Urban / Outdoor</t>
        </is>
      </c>
      <c r="E64" s="7" t="n">
        <v>1</v>
      </c>
      <c r="F64" s="4" t="inlineStr">
        <is>
          <t>$4,300–$5,400/mo</t>
        </is>
      </c>
      <c r="G64" s="4" t="inlineStr">
        <is>
          <t>$246,000</t>
        </is>
      </c>
      <c r="H64" s="7" t="n">
        <v>6</v>
      </c>
      <c r="I64" s="7" t="n">
        <v>9</v>
      </c>
      <c r="J64" s="7" t="n">
        <v>10</v>
      </c>
      <c r="K64" s="7" t="n">
        <v>7</v>
      </c>
      <c r="L64" s="7" t="n">
        <v>6</v>
      </c>
      <c r="M64" s="7" t="n">
        <v>6</v>
      </c>
      <c r="N64" s="7" t="n">
        <v>6</v>
      </c>
      <c r="O64" s="7" t="n">
        <v>7</v>
      </c>
      <c r="P64" s="7" t="n">
        <v>8</v>
      </c>
      <c r="Q64" s="7" t="n">
        <v>4</v>
      </c>
      <c r="R64" s="7" t="n">
        <v>6</v>
      </c>
      <c r="S64" s="7" t="n">
        <v>5</v>
      </c>
      <c r="T64" s="4" t="inlineStr">
        <is>
          <t>Mountain, Lakeside</t>
        </is>
      </c>
      <c r="U64" s="4" t="inlineStr">
        <is>
          <t>Arts &amp; Culture, Urban Neighborhood, College Town, Nature-Centric</t>
        </is>
      </c>
      <c r="V64" s="8" t="n">
        <v>7</v>
      </c>
      <c r="W64" s="8" t="n">
        <v>5</v>
      </c>
      <c r="X64" s="9" t="n">
        <v>1.26</v>
      </c>
      <c r="Y64" s="9" t="n">
        <v>1529</v>
      </c>
      <c r="Z64" s="9" t="n"/>
      <c r="AA64" s="7" t="n">
        <v>8</v>
      </c>
      <c r="AB64" s="4" t="inlineStr">
        <is>
          <t>Localized riverine flood/landslide only; low catastrophic</t>
        </is>
      </c>
      <c r="AC64" s="18" t="n">
        <v>30</v>
      </c>
      <c r="AD64" s="18" t="n">
        <v>44</v>
      </c>
      <c r="AE64" s="18" t="n">
        <v>45</v>
      </c>
    </row>
    <row r="65" ht="15" customHeight="1" s="20">
      <c r="A65" s="7" t="n">
        <v>63</v>
      </c>
      <c r="B65" s="4" t="inlineStr">
        <is>
          <t>Charleston</t>
        </is>
      </c>
      <c r="C65" s="4" t="inlineStr">
        <is>
          <t>SC</t>
        </is>
      </c>
      <c r="D65" s="4" t="inlineStr">
        <is>
          <t>Historic / Beach</t>
        </is>
      </c>
      <c r="E65" s="7" t="n">
        <v>3</v>
      </c>
      <c r="F65" s="4" t="inlineStr">
        <is>
          <t>$6,000–$7,400/mo</t>
        </is>
      </c>
      <c r="G65" s="4" t="inlineStr">
        <is>
          <t>$598,000</t>
        </is>
      </c>
      <c r="H65" s="7" t="n">
        <v>8</v>
      </c>
      <c r="I65" s="7" t="n">
        <v>5</v>
      </c>
      <c r="J65" s="7" t="n">
        <v>9</v>
      </c>
      <c r="K65" s="7" t="n">
        <v>6</v>
      </c>
      <c r="L65" s="7" t="n">
        <v>7</v>
      </c>
      <c r="M65" s="7" t="n">
        <v>8</v>
      </c>
      <c r="N65" s="7" t="n">
        <v>7</v>
      </c>
      <c r="O65" s="7" t="n">
        <v>5</v>
      </c>
      <c r="P65" s="7" t="n">
        <v>9</v>
      </c>
      <c r="Q65" s="7" t="n">
        <v>7</v>
      </c>
      <c r="R65" s="7" t="n">
        <v>5</v>
      </c>
      <c r="S65" s="7" t="n">
        <v>3</v>
      </c>
      <c r="T65" s="4" t="inlineStr">
        <is>
          <t>Beach / Coastal</t>
        </is>
      </c>
      <c r="U65" s="4" t="inlineStr">
        <is>
          <t>Historic, Urban Neighborhood, Arts &amp; Culture</t>
        </is>
      </c>
      <c r="V65" s="8" t="n">
        <v>10</v>
      </c>
      <c r="W65" s="8" t="n">
        <v>7</v>
      </c>
      <c r="X65" s="9" t="n">
        <v>0.49</v>
      </c>
      <c r="Y65" s="9" t="n">
        <v>2974</v>
      </c>
      <c r="Z65" s="10" t="inlineStr">
        <is>
          <t>Coastal above state avg</t>
        </is>
      </c>
      <c r="AA65" s="7" t="n">
        <v>3</v>
      </c>
      <c r="AB65" s="4" t="inlineStr">
        <is>
          <t>Hurricane + tidal/nuisance flooding + sea-level rise</t>
        </is>
      </c>
      <c r="AC65" s="18" t="n">
        <v>49</v>
      </c>
      <c r="AD65" s="18" t="n">
        <v>0</v>
      </c>
      <c r="AE65" s="18" t="n">
        <v>63</v>
      </c>
    </row>
    <row r="66" ht="15" customHeight="1" s="20">
      <c r="A66" s="7" t="n">
        <v>64</v>
      </c>
      <c r="B66" s="4" t="inlineStr">
        <is>
          <t>Greenville</t>
        </is>
      </c>
      <c r="C66" s="4" t="inlineStr">
        <is>
          <t>SC</t>
        </is>
      </c>
      <c r="D66" s="4" t="inlineStr">
        <is>
          <t>Inland / Small City</t>
        </is>
      </c>
      <c r="E66" s="7" t="n">
        <v>1</v>
      </c>
      <c r="F66" s="4" t="inlineStr">
        <is>
          <t>$4,700–$5,800/mo</t>
        </is>
      </c>
      <c r="G66" s="4" t="inlineStr">
        <is>
          <t>$333,000</t>
        </is>
      </c>
      <c r="H66" s="7" t="n">
        <v>6</v>
      </c>
      <c r="I66" s="7" t="n">
        <v>8</v>
      </c>
      <c r="J66" s="7" t="n">
        <v>8</v>
      </c>
      <c r="K66" s="7" t="n">
        <v>6</v>
      </c>
      <c r="L66" s="7" t="n">
        <v>7</v>
      </c>
      <c r="M66" s="7" t="n">
        <v>7</v>
      </c>
      <c r="N66" s="7" t="n">
        <v>6</v>
      </c>
      <c r="O66" s="7" t="n">
        <v>4</v>
      </c>
      <c r="P66" s="7" t="n">
        <v>7</v>
      </c>
      <c r="Q66" s="7" t="n">
        <v>5</v>
      </c>
      <c r="R66" s="7" t="n">
        <v>6</v>
      </c>
      <c r="S66" s="7" t="n">
        <v>4</v>
      </c>
      <c r="T66" s="4" t="inlineStr">
        <is>
          <t>Mountain, Forest / Green</t>
        </is>
      </c>
      <c r="U66" s="4" t="inlineStr">
        <is>
          <t>Urban Neighborhood, Quiet &amp; Residential, Arts &amp; Culture</t>
        </is>
      </c>
      <c r="V66" s="8" t="n">
        <v>8</v>
      </c>
      <c r="W66" s="8" t="n">
        <v>7</v>
      </c>
      <c r="X66" s="9" t="n">
        <v>0.49</v>
      </c>
      <c r="Y66" s="9" t="n">
        <v>2974</v>
      </c>
      <c r="Z66" s="10" t="inlineStr">
        <is>
          <t>Coastal above state avg</t>
        </is>
      </c>
      <c r="AA66" s="7" t="n">
        <v>6</v>
      </c>
      <c r="AB66" s="4" t="inlineStr">
        <is>
          <t>Upstate; low coastal risk, occasional severe storms</t>
        </is>
      </c>
      <c r="AC66" s="18" t="n">
        <v>42</v>
      </c>
      <c r="AD66" s="18" t="n">
        <v>3</v>
      </c>
      <c r="AE66" s="18" t="n">
        <v>61</v>
      </c>
    </row>
    <row r="67" ht="15" customHeight="1" s="20">
      <c r="A67" s="7" t="n">
        <v>65</v>
      </c>
      <c r="B67" s="4" t="inlineStr">
        <is>
          <t>Hilton Head</t>
        </is>
      </c>
      <c r="C67" s="4" t="inlineStr">
        <is>
          <t>SC</t>
        </is>
      </c>
      <c r="D67" s="4" t="inlineStr">
        <is>
          <t>Resort / Golf</t>
        </is>
      </c>
      <c r="E67" s="7" t="n">
        <v>4</v>
      </c>
      <c r="F67" s="4" t="inlineStr">
        <is>
          <t>$7,000–$8,700/mo</t>
        </is>
      </c>
      <c r="G67" s="4" t="inlineStr">
        <is>
          <t>$790,000</t>
        </is>
      </c>
      <c r="H67" s="7" t="n">
        <v>6</v>
      </c>
      <c r="I67" s="7" t="n">
        <v>4</v>
      </c>
      <c r="J67" s="7" t="n">
        <v>7</v>
      </c>
      <c r="K67" s="7" t="n">
        <v>7</v>
      </c>
      <c r="L67" s="7" t="n">
        <v>4</v>
      </c>
      <c r="M67" s="7" t="n">
        <v>6</v>
      </c>
      <c r="N67" s="7" t="n">
        <v>8</v>
      </c>
      <c r="O67" s="7" t="n">
        <v>5</v>
      </c>
      <c r="P67" s="7" t="n">
        <v>7</v>
      </c>
      <c r="Q67" s="7" t="n">
        <v>7</v>
      </c>
      <c r="R67" s="7" t="n">
        <v>5</v>
      </c>
      <c r="S67" s="7" t="n">
        <v>3</v>
      </c>
      <c r="T67" s="4" t="inlineStr">
        <is>
          <t>Beach / Coastal</t>
        </is>
      </c>
      <c r="U67" s="4" t="inlineStr">
        <is>
          <t>Resort / Golf</t>
        </is>
      </c>
      <c r="V67" s="8" t="n">
        <v>9</v>
      </c>
      <c r="W67" s="8" t="n">
        <v>6</v>
      </c>
      <c r="X67" s="9" t="n">
        <v>0.49</v>
      </c>
      <c r="Y67" s="9" t="n">
        <v>2974</v>
      </c>
      <c r="Z67" s="10" t="inlineStr">
        <is>
          <t>Coastal above state avg</t>
        </is>
      </c>
      <c r="AA67" s="7" t="n">
        <v>3</v>
      </c>
      <c r="AB67" s="4" t="inlineStr">
        <is>
          <t>Barrier-island hurricane + surge exposure</t>
        </is>
      </c>
      <c r="AC67" s="18" t="n">
        <v>49</v>
      </c>
      <c r="AD67" s="18" t="n">
        <v>0</v>
      </c>
      <c r="AE67" s="18" t="n">
        <v>63</v>
      </c>
    </row>
    <row r="68" ht="15" customHeight="1" s="20">
      <c r="A68" s="7" t="n">
        <v>66</v>
      </c>
      <c r="B68" s="4" t="inlineStr">
        <is>
          <t>Sioux Falls</t>
        </is>
      </c>
      <c r="C68" s="4" t="inlineStr">
        <is>
          <t>SD</t>
        </is>
      </c>
      <c r="D68" s="4" t="inlineStr">
        <is>
          <t>Small Metro / Plains</t>
        </is>
      </c>
      <c r="E68" s="7" t="n">
        <v>2</v>
      </c>
      <c r="F68" s="4" t="inlineStr">
        <is>
          <t>$5,000–$6,200/mo</t>
        </is>
      </c>
      <c r="G68" s="4" t="inlineStr">
        <is>
          <t>$336,000</t>
        </is>
      </c>
      <c r="H68" s="7" t="n">
        <v>6</v>
      </c>
      <c r="I68" s="7" t="n">
        <v>7</v>
      </c>
      <c r="J68" s="7" t="n">
        <v>8</v>
      </c>
      <c r="K68" s="7" t="n">
        <v>10</v>
      </c>
      <c r="L68" s="7" t="n">
        <v>3</v>
      </c>
      <c r="M68" s="7" t="n">
        <v>5</v>
      </c>
      <c r="N68" s="7" t="n">
        <v>7</v>
      </c>
      <c r="O68" s="7" t="n">
        <v>8</v>
      </c>
      <c r="P68" s="7" t="n">
        <v>7</v>
      </c>
      <c r="Q68" s="7" t="n">
        <v>1</v>
      </c>
      <c r="R68" s="7" t="n">
        <v>5</v>
      </c>
      <c r="S68" s="7" t="n">
        <v>3</v>
      </c>
      <c r="T68" s="4" t="inlineStr">
        <is>
          <t>Forest / Green</t>
        </is>
      </c>
      <c r="U68" s="4" t="inlineStr">
        <is>
          <t>Quiet &amp; Residential, Nature-Centric</t>
        </is>
      </c>
      <c r="V68" s="8" t="n">
        <v>6</v>
      </c>
      <c r="W68" s="8" t="n">
        <v>5</v>
      </c>
      <c r="X68" s="9" t="n">
        <v>1</v>
      </c>
      <c r="Y68" s="9" t="n">
        <v>3760</v>
      </c>
      <c r="Z68" s="9" t="n"/>
      <c r="AA68" s="7" t="n">
        <v>7</v>
      </c>
      <c r="AB68" s="4" t="inlineStr">
        <is>
          <t>Hail/severe weather; no defining catastrophic peril</t>
        </is>
      </c>
      <c r="AC68" s="18" t="n">
        <v>17</v>
      </c>
      <c r="AD68" s="18" t="n">
        <v>45</v>
      </c>
      <c r="AE68" s="18" t="n">
        <v>60</v>
      </c>
    </row>
    <row r="69" ht="15" customHeight="1" s="20">
      <c r="A69" s="7" t="n">
        <v>67</v>
      </c>
      <c r="B69" s="4" t="inlineStr">
        <is>
          <t>Chattanooga</t>
        </is>
      </c>
      <c r="C69" s="4" t="inlineStr">
        <is>
          <t>TN</t>
        </is>
      </c>
      <c r="D69" s="4" t="inlineStr">
        <is>
          <t>Outdoor / Mid-size</t>
        </is>
      </c>
      <c r="E69" s="7" t="n">
        <v>1</v>
      </c>
      <c r="F69" s="4" t="inlineStr">
        <is>
          <t>$4,600–$5,700/mo</t>
        </is>
      </c>
      <c r="G69" s="4" t="inlineStr">
        <is>
          <t>$324,000</t>
        </is>
      </c>
      <c r="H69" s="7" t="n">
        <v>5</v>
      </c>
      <c r="I69" s="7" t="n">
        <v>8</v>
      </c>
      <c r="J69" s="7" t="n">
        <v>8</v>
      </c>
      <c r="K69" s="7" t="n">
        <v>10</v>
      </c>
      <c r="L69" s="7" t="n">
        <v>6</v>
      </c>
      <c r="M69" s="7" t="n">
        <v>8</v>
      </c>
      <c r="N69" s="7" t="n">
        <v>6</v>
      </c>
      <c r="O69" s="7" t="n">
        <v>4</v>
      </c>
      <c r="P69" s="7" t="n">
        <v>7</v>
      </c>
      <c r="Q69" s="7" t="n">
        <v>5</v>
      </c>
      <c r="R69" s="7" t="n">
        <v>6</v>
      </c>
      <c r="S69" s="7" t="n">
        <v>4</v>
      </c>
      <c r="T69" s="4" t="inlineStr">
        <is>
          <t>Mountain, Lakeside</t>
        </is>
      </c>
      <c r="U69" s="4" t="inlineStr">
        <is>
          <t>Urban Neighborhood, Quiet &amp; Residential, Nature-Centric</t>
        </is>
      </c>
      <c r="V69" s="8" t="n">
        <v>8</v>
      </c>
      <c r="W69" s="8" t="n">
        <v>7</v>
      </c>
      <c r="X69" s="9" t="n">
        <v>0.52</v>
      </c>
      <c r="Y69" s="9" t="n">
        <v>2958</v>
      </c>
      <c r="Z69" s="9" t="n"/>
      <c r="AA69" s="7" t="n">
        <v>6</v>
      </c>
      <c r="AB69" s="4" t="inlineStr">
        <is>
          <t>Flooding + tornado; Appalachian, Helene-region edge</t>
        </is>
      </c>
      <c r="AC69" s="18" t="n">
        <v>40</v>
      </c>
      <c r="AD69" s="18" t="n">
        <v>3</v>
      </c>
      <c r="AE69" s="18" t="n">
        <v>58</v>
      </c>
    </row>
    <row r="70" ht="15" customHeight="1" s="20">
      <c r="A70" s="7" t="n">
        <v>68</v>
      </c>
      <c r="B70" s="4" t="inlineStr">
        <is>
          <t>Johnson City</t>
        </is>
      </c>
      <c r="C70" s="4" t="inlineStr">
        <is>
          <t>TN</t>
        </is>
      </c>
      <c r="D70" s="4" t="inlineStr">
        <is>
          <t>Mountain / Affordable</t>
        </is>
      </c>
      <c r="E70" s="7" t="n">
        <v>1</v>
      </c>
      <c r="F70" s="4" t="inlineStr">
        <is>
          <t>$4,500–$5,600/mo</t>
        </is>
      </c>
      <c r="G70" s="4" t="inlineStr">
        <is>
          <t>$300,000</t>
        </is>
      </c>
      <c r="H70" s="7" t="n">
        <v>5</v>
      </c>
      <c r="I70" s="7" t="n">
        <v>8</v>
      </c>
      <c r="J70" s="7" t="n">
        <v>3</v>
      </c>
      <c r="K70" s="7" t="n">
        <v>9</v>
      </c>
      <c r="L70" s="7" t="n">
        <v>4</v>
      </c>
      <c r="M70" s="7" t="n">
        <v>8</v>
      </c>
      <c r="N70" s="7" t="n">
        <v>6</v>
      </c>
      <c r="O70" s="7" t="n">
        <v>6</v>
      </c>
      <c r="P70" s="7" t="n">
        <v>6</v>
      </c>
      <c r="Q70" s="7" t="n">
        <v>5</v>
      </c>
      <c r="R70" s="7" t="n">
        <v>7</v>
      </c>
      <c r="S70" s="7" t="n">
        <v>5</v>
      </c>
      <c r="T70" s="4" t="inlineStr">
        <is>
          <t>Lakeside</t>
        </is>
      </c>
      <c r="U70" s="4" t="inlineStr">
        <is>
          <t>Historic, Nature-Centric</t>
        </is>
      </c>
      <c r="V70" s="8" t="n">
        <v>7</v>
      </c>
      <c r="W70" s="8" t="n">
        <v>5</v>
      </c>
      <c r="X70" s="9" t="n">
        <v>0.52</v>
      </c>
      <c r="Y70" s="9" t="n">
        <v>2958</v>
      </c>
      <c r="Z70" s="9" t="n"/>
      <c r="AA70" s="7" t="n">
        <v>5</v>
      </c>
      <c r="AB70" s="4" t="inlineStr">
        <is>
          <t>Far-E TN; severe Helene-related flooding nearby (2024)</t>
        </is>
      </c>
      <c r="AC70" s="18" t="n">
        <v>37</v>
      </c>
      <c r="AD70" s="18" t="n">
        <v>12</v>
      </c>
      <c r="AE70" s="18" t="n">
        <v>57</v>
      </c>
    </row>
    <row r="71" ht="15" customHeight="1" s="20">
      <c r="A71" s="7" t="n">
        <v>69</v>
      </c>
      <c r="B71" s="4" t="inlineStr">
        <is>
          <t>Knoxville</t>
        </is>
      </c>
      <c r="C71" s="4" t="inlineStr">
        <is>
          <t>TN</t>
        </is>
      </c>
      <c r="D71" s="4" t="inlineStr">
        <is>
          <t>College / Outdoor</t>
        </is>
      </c>
      <c r="E71" s="7" t="n">
        <v>1</v>
      </c>
      <c r="F71" s="4" t="inlineStr">
        <is>
          <t>$4,900–$6,200/mo</t>
        </is>
      </c>
      <c r="G71" s="4" t="inlineStr">
        <is>
          <t>$377,000</t>
        </is>
      </c>
      <c r="H71" s="7" t="n">
        <v>6</v>
      </c>
      <c r="I71" s="7" t="n">
        <v>8</v>
      </c>
      <c r="J71" s="7" t="n">
        <v>8</v>
      </c>
      <c r="K71" s="7" t="n">
        <v>9</v>
      </c>
      <c r="L71" s="7" t="n">
        <v>5</v>
      </c>
      <c r="M71" s="7" t="n">
        <v>8</v>
      </c>
      <c r="N71" s="7" t="n">
        <v>7</v>
      </c>
      <c r="O71" s="7" t="n">
        <v>7</v>
      </c>
      <c r="P71" s="7" t="n">
        <v>8</v>
      </c>
      <c r="Q71" s="7" t="n">
        <v>5</v>
      </c>
      <c r="R71" s="7" t="n">
        <v>6</v>
      </c>
      <c r="S71" s="7" t="n">
        <v>4</v>
      </c>
      <c r="T71" s="4" t="inlineStr">
        <is>
          <t>Mountain, Lakeside</t>
        </is>
      </c>
      <c r="U71" s="4" t="inlineStr">
        <is>
          <t>College Town, Urban Neighborhood, Nature-Centric</t>
        </is>
      </c>
      <c r="V71" s="8" t="n">
        <v>8</v>
      </c>
      <c r="W71" s="8" t="n">
        <v>7</v>
      </c>
      <c r="X71" s="9" t="n">
        <v>0.52</v>
      </c>
      <c r="Y71" s="9" t="n">
        <v>2958</v>
      </c>
      <c r="Z71" s="9" t="n"/>
      <c r="AA71" s="7" t="n">
        <v>6</v>
      </c>
      <c r="AB71" s="4" t="inlineStr">
        <is>
          <t>Flooding + tornado; Helene-region edge</t>
        </is>
      </c>
      <c r="AC71" s="18" t="n">
        <v>39</v>
      </c>
      <c r="AD71" s="18" t="n">
        <v>5</v>
      </c>
      <c r="AE71" s="18" t="n">
        <v>57</v>
      </c>
    </row>
    <row r="72" ht="15" customHeight="1" s="20">
      <c r="A72" s="7" t="n">
        <v>70</v>
      </c>
      <c r="B72" s="4" t="inlineStr">
        <is>
          <t>Memphis</t>
        </is>
      </c>
      <c r="C72" s="4" t="inlineStr">
        <is>
          <t>TN</t>
        </is>
      </c>
      <c r="D72" s="4" t="inlineStr">
        <is>
          <t>Urban / Cultural</t>
        </is>
      </c>
      <c r="E72" s="7" t="n">
        <v>1</v>
      </c>
      <c r="F72" s="4" t="inlineStr">
        <is>
          <t>$3,800–$4,800/mo</t>
        </is>
      </c>
      <c r="G72" s="4" t="inlineStr">
        <is>
          <t>$147,000</t>
        </is>
      </c>
      <c r="H72" s="7" t="n">
        <v>8</v>
      </c>
      <c r="I72" s="7" t="n">
        <v>10</v>
      </c>
      <c r="J72" s="7" t="n">
        <v>9</v>
      </c>
      <c r="K72" s="7" t="n">
        <v>9</v>
      </c>
      <c r="L72" s="7" t="n">
        <v>5</v>
      </c>
      <c r="M72" s="7" t="n">
        <v>3</v>
      </c>
      <c r="N72" s="7" t="n">
        <v>4</v>
      </c>
      <c r="O72" s="7" t="n">
        <v>7</v>
      </c>
      <c r="P72" s="7" t="n">
        <v>7</v>
      </c>
      <c r="Q72" s="7" t="n">
        <v>5</v>
      </c>
      <c r="R72" s="7" t="n">
        <v>8</v>
      </c>
      <c r="S72" s="7" t="n">
        <v>5</v>
      </c>
      <c r="T72" s="4" t="inlineStr">
        <is>
          <t>Urban / Metro, Forest / Green</t>
        </is>
      </c>
      <c r="U72" s="4" t="inlineStr">
        <is>
          <t>Urban Neighborhood, Arts &amp; Culture, Historic</t>
        </is>
      </c>
      <c r="V72" s="8" t="n">
        <v>9</v>
      </c>
      <c r="W72" s="8" t="n">
        <v>8</v>
      </c>
      <c r="X72" s="9" t="n">
        <v>0.52</v>
      </c>
      <c r="Y72" s="9" t="n">
        <v>2958</v>
      </c>
      <c r="Z72" s="9" t="n"/>
      <c r="AA72" s="7" t="n">
        <v>4</v>
      </c>
      <c r="AB72" s="4" t="inlineStr">
        <is>
          <t>New Madrid seismic zone + Mississippi flooding + tornado + heat</t>
        </is>
      </c>
      <c r="AC72" s="18" t="n">
        <v>42</v>
      </c>
      <c r="AD72" s="18" t="n">
        <v>2</v>
      </c>
      <c r="AE72" s="18" t="n">
        <v>61</v>
      </c>
    </row>
    <row r="73" ht="15" customHeight="1" s="20">
      <c r="A73" s="7" t="n">
        <v>71</v>
      </c>
      <c r="B73" s="4" t="inlineStr">
        <is>
          <t>Nashville</t>
        </is>
      </c>
      <c r="C73" s="4" t="inlineStr">
        <is>
          <t>TN</t>
        </is>
      </c>
      <c r="D73" s="4" t="inlineStr">
        <is>
          <t>Metro / Music City</t>
        </is>
      </c>
      <c r="E73" s="7" t="n">
        <v>2</v>
      </c>
      <c r="F73" s="4" t="inlineStr">
        <is>
          <t>$5,200–$6,500/mo</t>
        </is>
      </c>
      <c r="G73" s="4" t="inlineStr">
        <is>
          <t>$437,000</t>
        </is>
      </c>
      <c r="H73" s="7" t="n">
        <v>9</v>
      </c>
      <c r="I73" s="7" t="n">
        <v>7</v>
      </c>
      <c r="J73" s="7" t="n">
        <v>9</v>
      </c>
      <c r="K73" s="7" t="n">
        <v>9</v>
      </c>
      <c r="L73" s="7" t="n">
        <v>5</v>
      </c>
      <c r="M73" s="7" t="n">
        <v>6</v>
      </c>
      <c r="N73" s="7" t="n">
        <v>7</v>
      </c>
      <c r="O73" s="7" t="n">
        <v>5</v>
      </c>
      <c r="P73" s="7" t="n">
        <v>9</v>
      </c>
      <c r="Q73" s="7" t="n">
        <v>6</v>
      </c>
      <c r="R73" s="7" t="n">
        <v>5</v>
      </c>
      <c r="S73" s="7" t="n">
        <v>7</v>
      </c>
      <c r="T73" s="4" t="inlineStr">
        <is>
          <t>Urban / Metro, Forest / Green</t>
        </is>
      </c>
      <c r="U73" s="4" t="inlineStr">
        <is>
          <t>Arts &amp; Culture, Urban Neighborhood, Historic</t>
        </is>
      </c>
      <c r="V73" s="8" t="n">
        <v>8</v>
      </c>
      <c r="W73" s="8" t="n">
        <v>7</v>
      </c>
      <c r="X73" s="9" t="n">
        <v>0.52</v>
      </c>
      <c r="Y73" s="9" t="n">
        <v>2958</v>
      </c>
      <c r="Z73" s="9" t="n"/>
      <c r="AA73" s="7" t="n">
        <v>6</v>
      </c>
      <c r="AB73" s="4" t="inlineStr">
        <is>
          <t>Flooding (2010/2021) + tornado (2020) + heat</t>
        </is>
      </c>
      <c r="AC73" s="18" t="n">
        <v>39</v>
      </c>
      <c r="AD73" s="18" t="n">
        <v>6</v>
      </c>
      <c r="AE73" s="18" t="n">
        <v>57</v>
      </c>
    </row>
    <row r="74" ht="15" customHeight="1" s="20">
      <c r="A74" s="7" t="n">
        <v>72</v>
      </c>
      <c r="B74" s="4" t="inlineStr">
        <is>
          <t>Corpus Christi</t>
        </is>
      </c>
      <c r="C74" s="4" t="inlineStr">
        <is>
          <t>TX</t>
        </is>
      </c>
      <c r="D74" s="4" t="inlineStr">
        <is>
          <t>Beach / Affordable</t>
        </is>
      </c>
      <c r="E74" s="7" t="n">
        <v>1</v>
      </c>
      <c r="F74" s="4" t="inlineStr">
        <is>
          <t>$4,600–$5,700/mo</t>
        </is>
      </c>
      <c r="G74" s="4" t="inlineStr">
        <is>
          <t>$227,000</t>
        </is>
      </c>
      <c r="H74" s="7" t="n">
        <v>3</v>
      </c>
      <c r="I74" s="7" t="n">
        <v>8</v>
      </c>
      <c r="J74" s="7" t="n">
        <v>5</v>
      </c>
      <c r="K74" s="7" t="n">
        <v>9</v>
      </c>
      <c r="L74" s="7" t="n">
        <v>3</v>
      </c>
      <c r="M74" s="7" t="n">
        <v>5</v>
      </c>
      <c r="N74" s="7" t="n">
        <v>4</v>
      </c>
      <c r="O74" s="7" t="n">
        <v>4</v>
      </c>
      <c r="P74" s="7" t="n">
        <v>5</v>
      </c>
      <c r="Q74" s="7" t="n">
        <v>8</v>
      </c>
      <c r="R74" s="7" t="n">
        <v>4</v>
      </c>
      <c r="S74" s="7" t="n">
        <v>3</v>
      </c>
      <c r="T74" s="4" t="inlineStr">
        <is>
          <t>Beach / Coastal</t>
        </is>
      </c>
      <c r="U74" s="4" t="inlineStr">
        <is>
          <t>Quiet &amp; Residential</t>
        </is>
      </c>
      <c r="V74" s="8" t="n">
        <v>9</v>
      </c>
      <c r="W74" s="8" t="n">
        <v>7</v>
      </c>
      <c r="X74" s="9" t="n">
        <v>1.4</v>
      </c>
      <c r="Y74" s="9" t="n">
        <v>4085</v>
      </c>
      <c r="Z74" s="10" t="inlineStr">
        <is>
          <t>Gulf coast far above state avg</t>
        </is>
      </c>
      <c r="AA74" s="7" t="n">
        <v>2</v>
      </c>
      <c r="AB74" s="4" t="inlineStr">
        <is>
          <t>Gulf hurricane + surge + high coastal insurance</t>
        </is>
      </c>
      <c r="AC74" s="18" t="n">
        <v>57</v>
      </c>
      <c r="AD74" s="18" t="n">
        <v>0</v>
      </c>
      <c r="AE74" s="18" t="n">
        <v>62</v>
      </c>
    </row>
    <row r="75" ht="15" customHeight="1" s="20">
      <c r="A75" s="7" t="n">
        <v>73</v>
      </c>
      <c r="B75" s="4" t="inlineStr">
        <is>
          <t>Fort Worth</t>
        </is>
      </c>
      <c r="C75" s="4" t="inlineStr">
        <is>
          <t>TX</t>
        </is>
      </c>
      <c r="D75" s="4" t="inlineStr">
        <is>
          <t>City / Western</t>
        </is>
      </c>
      <c r="E75" s="7" t="n">
        <v>2</v>
      </c>
      <c r="F75" s="4" t="inlineStr">
        <is>
          <t>$5,000–$6,200/mo</t>
        </is>
      </c>
      <c r="G75" s="4" t="inlineStr">
        <is>
          <t>$300,000</t>
        </is>
      </c>
      <c r="H75" s="7" t="n">
        <v>10</v>
      </c>
      <c r="I75" s="7" t="n">
        <v>7</v>
      </c>
      <c r="J75" s="7" t="n">
        <v>8</v>
      </c>
      <c r="K75" s="7" t="n">
        <v>8</v>
      </c>
      <c r="L75" s="7" t="n">
        <v>5</v>
      </c>
      <c r="M75" s="7" t="n">
        <v>4</v>
      </c>
      <c r="N75" s="7" t="n">
        <v>6</v>
      </c>
      <c r="O75" s="7" t="n">
        <v>6</v>
      </c>
      <c r="P75" s="7" t="n">
        <v>7</v>
      </c>
      <c r="Q75" s="7" t="n">
        <v>6</v>
      </c>
      <c r="R75" s="7" t="n">
        <v>3</v>
      </c>
      <c r="S75" s="7" t="n">
        <v>4</v>
      </c>
      <c r="T75" s="4" t="inlineStr">
        <is>
          <t>Urban / Metro</t>
        </is>
      </c>
      <c r="U75" s="4" t="inlineStr">
        <is>
          <t>Historic, Arts &amp; Culture</t>
        </is>
      </c>
      <c r="V75" s="8" t="n">
        <v>7</v>
      </c>
      <c r="W75" s="8" t="n">
        <v>9</v>
      </c>
      <c r="X75" s="9" t="n">
        <v>1.4</v>
      </c>
      <c r="Y75" s="9" t="n">
        <v>4085</v>
      </c>
      <c r="Z75" s="10" t="inlineStr">
        <is>
          <t>Gulf coast far above state avg</t>
        </is>
      </c>
      <c r="AA75" s="7" t="n">
        <v>5</v>
      </c>
      <c r="AB75" s="4" t="inlineStr">
        <is>
          <t>Tornado Alley fringe + severe hail + heat; elevated but available insurance</t>
        </is>
      </c>
      <c r="AC75" s="18" t="n">
        <v>47</v>
      </c>
      <c r="AD75" s="18" t="n">
        <v>2</v>
      </c>
      <c r="AE75" s="18" t="n">
        <v>62</v>
      </c>
    </row>
    <row r="76" ht="15" customHeight="1" s="20">
      <c r="A76" s="7" t="n">
        <v>74</v>
      </c>
      <c r="B76" s="4" t="inlineStr">
        <is>
          <t>Georgetown</t>
        </is>
      </c>
      <c r="C76" s="4" t="inlineStr">
        <is>
          <t>TX</t>
        </is>
      </c>
      <c r="D76" s="4" t="inlineStr">
        <is>
          <t>Active Adult / Suburban</t>
        </is>
      </c>
      <c r="E76" s="7" t="n">
        <v>2</v>
      </c>
      <c r="F76" s="4" t="inlineStr">
        <is>
          <t>$5,700–$7,100/mo</t>
        </is>
      </c>
      <c r="G76" s="4" t="inlineStr">
        <is>
          <t>$428,000</t>
        </is>
      </c>
      <c r="H76" s="7" t="n">
        <v>7</v>
      </c>
      <c r="I76" s="7" t="n">
        <v>6</v>
      </c>
      <c r="J76" s="7" t="n">
        <v>6</v>
      </c>
      <c r="K76" s="7" t="n">
        <v>9</v>
      </c>
      <c r="L76" s="7" t="n">
        <v>5</v>
      </c>
      <c r="M76" s="7" t="n">
        <v>5</v>
      </c>
      <c r="N76" s="7" t="n">
        <v>10</v>
      </c>
      <c r="O76" s="7" t="n">
        <v>9</v>
      </c>
      <c r="P76" s="7" t="n">
        <v>7</v>
      </c>
      <c r="Q76" s="7" t="n">
        <v>7</v>
      </c>
      <c r="R76" s="7" t="n">
        <v>3</v>
      </c>
      <c r="S76" s="7" t="n">
        <v>4</v>
      </c>
      <c r="T76" s="4" t="inlineStr">
        <is>
          <t>Forest / Green</t>
        </is>
      </c>
      <c r="U76" s="4" t="inlineStr">
        <is>
          <t>Quiet &amp; Residential</t>
        </is>
      </c>
      <c r="V76" s="8" t="n">
        <v>7</v>
      </c>
      <c r="W76" s="8" t="n">
        <v>9</v>
      </c>
      <c r="X76" s="9" t="n">
        <v>1.4</v>
      </c>
      <c r="Y76" s="9" t="n">
        <v>4085</v>
      </c>
      <c r="Z76" s="10" t="inlineStr">
        <is>
          <t>Gulf coast far above state avg</t>
        </is>
      </c>
      <c r="AA76" s="7" t="n">
        <v>5</v>
      </c>
      <c r="AB76" s="4" t="inlineStr">
        <is>
          <t>Central-TX severe storms/hail + heat</t>
        </is>
      </c>
      <c r="AC76" s="18" t="n">
        <v>48</v>
      </c>
      <c r="AD76" s="18" t="n">
        <v>1</v>
      </c>
      <c r="AE76" s="18" t="n">
        <v>63</v>
      </c>
    </row>
    <row r="77" ht="15" customHeight="1" s="20">
      <c r="A77" s="7" t="n">
        <v>75</v>
      </c>
      <c r="B77" s="4" t="inlineStr">
        <is>
          <t>San Antonio</t>
        </is>
      </c>
      <c r="C77" s="4" t="inlineStr">
        <is>
          <t>TX</t>
        </is>
      </c>
      <c r="D77" s="4" t="inlineStr">
        <is>
          <t>City / Historic</t>
        </is>
      </c>
      <c r="E77" s="7" t="n">
        <v>1</v>
      </c>
      <c r="F77" s="4" t="inlineStr">
        <is>
          <t>$4,700–$5,800/mo</t>
        </is>
      </c>
      <c r="G77" s="4" t="inlineStr">
        <is>
          <t>$251,000</t>
        </is>
      </c>
      <c r="H77" s="7" t="n">
        <v>9</v>
      </c>
      <c r="I77" s="7" t="n">
        <v>8</v>
      </c>
      <c r="J77" s="7" t="n">
        <v>8</v>
      </c>
      <c r="K77" s="7" t="n">
        <v>9</v>
      </c>
      <c r="L77" s="7" t="n">
        <v>5</v>
      </c>
      <c r="M77" s="7" t="n">
        <v>5</v>
      </c>
      <c r="N77" s="7" t="n">
        <v>6</v>
      </c>
      <c r="O77" s="7" t="n">
        <v>7</v>
      </c>
      <c r="P77" s="7" t="n">
        <v>8</v>
      </c>
      <c r="Q77" s="7" t="n">
        <v>7</v>
      </c>
      <c r="R77" s="7" t="n">
        <v>3</v>
      </c>
      <c r="S77" s="7" t="n">
        <v>4</v>
      </c>
      <c r="T77" s="4" t="inlineStr">
        <is>
          <t>Forest / Green</t>
        </is>
      </c>
      <c r="U77" s="4" t="inlineStr">
        <is>
          <t>Historic, Arts &amp; Culture</t>
        </is>
      </c>
      <c r="V77" s="8" t="n">
        <v>8</v>
      </c>
      <c r="W77" s="8" t="n">
        <v>9</v>
      </c>
      <c r="X77" s="9" t="n">
        <v>1.4</v>
      </c>
      <c r="Y77" s="9" t="n">
        <v>4085</v>
      </c>
      <c r="Z77" s="10" t="inlineStr">
        <is>
          <t>Gulf coast far above state avg</t>
        </is>
      </c>
      <c r="AA77" s="7" t="n">
        <v>5</v>
      </c>
      <c r="AB77" s="4" t="inlineStr">
        <is>
          <t>Flash flooding + hail + heat</t>
        </is>
      </c>
      <c r="AC77" s="18" t="n">
        <v>52</v>
      </c>
      <c r="AD77" s="18" t="n">
        <v>0</v>
      </c>
      <c r="AE77" s="18" t="n">
        <v>62</v>
      </c>
    </row>
    <row r="78" ht="15" customHeight="1" s="20">
      <c r="A78" s="7" t="n">
        <v>76</v>
      </c>
      <c r="B78" s="4" t="inlineStr">
        <is>
          <t>Frisco</t>
        </is>
      </c>
      <c r="C78" s="4" t="inlineStr">
        <is>
          <t>TX</t>
        </is>
      </c>
      <c r="D78" s="4" t="inlineStr">
        <is>
          <t>Master-Planned Suburb</t>
        </is>
      </c>
      <c r="E78" s="7" t="n">
        <v>4</v>
      </c>
      <c r="F78" s="4" t="inlineStr">
        <is>
          <t>$7,000–$8,700/mo</t>
        </is>
      </c>
      <c r="G78" s="4" t="inlineStr">
        <is>
          <t>$656,000</t>
        </is>
      </c>
      <c r="H78" s="7" t="n">
        <v>9</v>
      </c>
      <c r="I78" s="7" t="n">
        <v>4</v>
      </c>
      <c r="J78" s="7" t="n">
        <v>8</v>
      </c>
      <c r="K78" s="7" t="n">
        <v>8</v>
      </c>
      <c r="L78" s="7" t="n">
        <v>3</v>
      </c>
      <c r="M78" s="7" t="n">
        <v>4</v>
      </c>
      <c r="N78" s="7" t="n">
        <v>8</v>
      </c>
      <c r="O78" s="7" t="n">
        <v>8</v>
      </c>
      <c r="P78" s="7" t="n">
        <v>7</v>
      </c>
      <c r="Q78" s="7" t="n">
        <v>6</v>
      </c>
      <c r="R78" s="7" t="n">
        <v>3</v>
      </c>
      <c r="S78" s="7" t="n">
        <v>4</v>
      </c>
      <c r="T78" s="4" t="inlineStr">
        <is>
          <t>Urban / Metro</t>
        </is>
      </c>
      <c r="U78" s="4" t="inlineStr">
        <is>
          <t>Quiet &amp; Residential, Resort / Golf</t>
        </is>
      </c>
      <c r="V78" s="8" t="n">
        <v>7</v>
      </c>
      <c r="W78" s="8" t="n">
        <v>9</v>
      </c>
      <c r="X78" s="9" t="n">
        <v>1.4</v>
      </c>
      <c r="Y78" s="9" t="n">
        <v>4085</v>
      </c>
      <c r="Z78" s="10" t="inlineStr">
        <is>
          <t>Gulf coast far above state avg</t>
        </is>
      </c>
      <c r="AA78" s="7" t="n">
        <v>5</v>
      </c>
      <c r="AB78" s="4" t="inlineStr">
        <is>
          <t>N-TX hail/tornado + heat</t>
        </is>
      </c>
      <c r="AC78" s="18" t="n">
        <v>46</v>
      </c>
      <c r="AD78" s="18" t="n">
        <v>2</v>
      </c>
      <c r="AE78" s="18" t="n">
        <v>62</v>
      </c>
    </row>
    <row r="79" ht="15" customHeight="1" s="20">
      <c r="A79" s="7" t="n">
        <v>77</v>
      </c>
      <c r="B79" s="4" t="inlineStr">
        <is>
          <t>Park City</t>
        </is>
      </c>
      <c r="C79" s="4" t="inlineStr">
        <is>
          <t>UT</t>
        </is>
      </c>
      <c r="D79" s="4" t="inlineStr">
        <is>
          <t>Mountain / Resort Town</t>
        </is>
      </c>
      <c r="E79" s="7" t="n">
        <v>5</v>
      </c>
      <c r="F79" s="4" t="inlineStr">
        <is>
          <t>$11,000–$13,700/mo</t>
        </is>
      </c>
      <c r="G79" s="4" t="inlineStr">
        <is>
          <t>$1,606,000</t>
        </is>
      </c>
      <c r="H79" s="7" t="n">
        <v>8</v>
      </c>
      <c r="I79" s="7" t="n">
        <v>1</v>
      </c>
      <c r="J79" s="7" t="n">
        <v>7</v>
      </c>
      <c r="K79" s="7" t="n">
        <v>4</v>
      </c>
      <c r="L79" s="7" t="n">
        <v>6</v>
      </c>
      <c r="M79" s="7" t="n">
        <v>10</v>
      </c>
      <c r="N79" s="7" t="n">
        <v>9</v>
      </c>
      <c r="O79" s="7" t="n">
        <v>7</v>
      </c>
      <c r="P79" s="7" t="n">
        <v>7</v>
      </c>
      <c r="Q79" s="7" t="n">
        <v>2</v>
      </c>
      <c r="R79" s="7" t="n">
        <v>9</v>
      </c>
      <c r="S79" s="7" t="n">
        <v>9</v>
      </c>
      <c r="T79" s="4" t="inlineStr">
        <is>
          <t>Mountain</t>
        </is>
      </c>
      <c r="U79" s="4" t="inlineStr">
        <is>
          <t>Historic, Resort / Golf, Arts &amp; Culture, Nature-Centric</t>
        </is>
      </c>
      <c r="V79" s="8" t="n">
        <v>3</v>
      </c>
      <c r="W79" s="8" t="n">
        <v>3</v>
      </c>
      <c r="X79" s="9" t="n">
        <v>0.48</v>
      </c>
      <c r="Y79" s="9" t="n">
        <v>1814</v>
      </c>
      <c r="Z79" s="9" t="n"/>
      <c r="AA79" s="7" t="n">
        <v>6</v>
      </c>
      <c r="AB79" s="4" t="inlineStr">
        <is>
          <t>Mountain wildfire + water + moderate Wasatch seismic</t>
        </is>
      </c>
      <c r="AC79" s="18" t="n">
        <v>24</v>
      </c>
      <c r="AD79" s="18" t="n">
        <v>160</v>
      </c>
      <c r="AE79" s="18" t="n">
        <v>65</v>
      </c>
    </row>
    <row r="80" ht="15" customHeight="1" s="20">
      <c r="A80" s="7" t="n">
        <v>78</v>
      </c>
      <c r="B80" s="4" t="inlineStr">
        <is>
          <t>St. George</t>
        </is>
      </c>
      <c r="C80" s="4" t="inlineStr">
        <is>
          <t>UT</t>
        </is>
      </c>
      <c r="D80" s="4" t="inlineStr">
        <is>
          <t>Desert / Outdoor</t>
        </is>
      </c>
      <c r="E80" s="7" t="n">
        <v>2</v>
      </c>
      <c r="F80" s="4" t="inlineStr">
        <is>
          <t>$5,800–$7,200/mo</t>
        </is>
      </c>
      <c r="G80" s="4" t="inlineStr">
        <is>
          <t>$521,000</t>
        </is>
      </c>
      <c r="H80" s="7" t="n">
        <v>5</v>
      </c>
      <c r="I80" s="7" t="n">
        <v>6</v>
      </c>
      <c r="J80" s="7" t="n">
        <v>10</v>
      </c>
      <c r="K80" s="7" t="n">
        <v>5</v>
      </c>
      <c r="L80" s="7" t="n">
        <v>3</v>
      </c>
      <c r="M80" s="7" t="n">
        <v>10</v>
      </c>
      <c r="N80" s="7" t="n">
        <v>9</v>
      </c>
      <c r="O80" s="7" t="n">
        <v>7</v>
      </c>
      <c r="P80" s="7" t="n">
        <v>6</v>
      </c>
      <c r="Q80" s="7" t="n">
        <v>6</v>
      </c>
      <c r="R80" s="7" t="n">
        <v>2</v>
      </c>
      <c r="S80" s="7" t="n">
        <v>9</v>
      </c>
      <c r="T80" s="4" t="inlineStr">
        <is>
          <t>Desert</t>
        </is>
      </c>
      <c r="U80" s="4" t="inlineStr">
        <is>
          <t>Resort / Golf, Nature-Centric</t>
        </is>
      </c>
      <c r="V80" s="8" t="n">
        <v>2</v>
      </c>
      <c r="W80" s="8" t="n">
        <v>9</v>
      </c>
      <c r="X80" s="9" t="n">
        <v>0.48</v>
      </c>
      <c r="Y80" s="9" t="n">
        <v>1814</v>
      </c>
      <c r="Z80" s="9" t="n"/>
      <c r="AA80" s="7" t="n">
        <v>5</v>
      </c>
      <c r="AB80" s="4" t="inlineStr">
        <is>
          <t>Desert extreme heat + water scarcity + some fire</t>
        </is>
      </c>
      <c r="AC80" s="18" t="n">
        <v>41</v>
      </c>
      <c r="AD80" s="18" t="n">
        <v>3</v>
      </c>
      <c r="AE80" s="18" t="n">
        <v>74</v>
      </c>
    </row>
    <row r="81" ht="15" customHeight="1" s="20">
      <c r="A81" s="7" t="n">
        <v>79</v>
      </c>
      <c r="B81" s="4" t="inlineStr">
        <is>
          <t>Alexandria</t>
        </is>
      </c>
      <c r="C81" s="4" t="inlineStr">
        <is>
          <t>VA</t>
        </is>
      </c>
      <c r="D81" s="4" t="inlineStr">
        <is>
          <t>Historic / Urban / Waterfront</t>
        </is>
      </c>
      <c r="E81" s="7" t="n">
        <v>3</v>
      </c>
      <c r="F81" s="4" t="inlineStr">
        <is>
          <t>$6,400–$8,000/mo</t>
        </is>
      </c>
      <c r="G81" s="4" t="inlineStr">
        <is>
          <t>$679,000</t>
        </is>
      </c>
      <c r="H81" s="7" t="n">
        <v>9</v>
      </c>
      <c r="I81" s="7" t="n">
        <v>5</v>
      </c>
      <c r="J81" s="7" t="n">
        <v>9</v>
      </c>
      <c r="K81" s="7" t="n">
        <v>6</v>
      </c>
      <c r="L81" s="7" t="n">
        <v>9</v>
      </c>
      <c r="M81" s="7" t="n">
        <v>5</v>
      </c>
      <c r="N81" s="7" t="n">
        <v>6</v>
      </c>
      <c r="O81" s="7" t="n">
        <v>5</v>
      </c>
      <c r="P81" s="7" t="n">
        <v>8</v>
      </c>
      <c r="Q81" s="7" t="n">
        <v>6</v>
      </c>
      <c r="R81" s="7" t="n">
        <v>7</v>
      </c>
      <c r="S81" s="7" t="n">
        <v>6</v>
      </c>
      <c r="T81" s="4" t="inlineStr">
        <is>
          <t>Beach / Coastal, Urban / Metro</t>
        </is>
      </c>
      <c r="U81" s="4" t="inlineStr">
        <is>
          <t>Historic, Arts &amp; Culture, Urban Neighborhood, Nature-Centric</t>
        </is>
      </c>
      <c r="V81" s="8" t="n">
        <v>8</v>
      </c>
      <c r="W81" s="8" t="n">
        <v>6</v>
      </c>
      <c r="X81" s="9" t="n">
        <v>0.78</v>
      </c>
      <c r="Y81" s="9" t="n">
        <v>2074</v>
      </c>
      <c r="Z81" s="9" t="n"/>
      <c r="AA81" s="7" t="n">
        <v>7</v>
      </c>
      <c r="AB81" s="4" t="inlineStr">
        <is>
          <t>Potomac/tidal flood pockets; low catastrophic, DC metro</t>
        </is>
      </c>
      <c r="AC81" s="18" t="n">
        <v>37</v>
      </c>
      <c r="AD81" s="18" t="n">
        <v>14</v>
      </c>
      <c r="AE81" s="18" t="n">
        <v>56</v>
      </c>
    </row>
    <row r="82" ht="15" customHeight="1" s="20">
      <c r="A82" s="7" t="n">
        <v>80</v>
      </c>
      <c r="B82" s="4" t="inlineStr">
        <is>
          <t>Charlottesville</t>
        </is>
      </c>
      <c r="C82" s="4" t="inlineStr">
        <is>
          <t>VA</t>
        </is>
      </c>
      <c r="D82" s="4" t="inlineStr">
        <is>
          <t>College / Historic</t>
        </is>
      </c>
      <c r="E82" s="7" t="n">
        <v>2</v>
      </c>
      <c r="F82" s="4" t="inlineStr">
        <is>
          <t>$5,800–$7,300/mo</t>
        </is>
      </c>
      <c r="G82" s="4" t="inlineStr">
        <is>
          <t>$528,000</t>
        </is>
      </c>
      <c r="H82" s="7" t="n">
        <v>4</v>
      </c>
      <c r="I82" s="7" t="n">
        <v>6</v>
      </c>
      <c r="J82" s="7" t="n">
        <v>9</v>
      </c>
      <c r="K82" s="7" t="n">
        <v>6</v>
      </c>
      <c r="L82" s="7" t="n">
        <v>7</v>
      </c>
      <c r="M82" s="7" t="n">
        <v>8</v>
      </c>
      <c r="N82" s="7" t="n">
        <v>5</v>
      </c>
      <c r="O82" s="7" t="n">
        <v>7</v>
      </c>
      <c r="P82" s="7" t="n">
        <v>8</v>
      </c>
      <c r="Q82" s="7" t="n">
        <v>5</v>
      </c>
      <c r="R82" s="7" t="n">
        <v>6</v>
      </c>
      <c r="S82" s="7" t="n">
        <v>5</v>
      </c>
      <c r="T82" s="4" t="inlineStr">
        <is>
          <t>Lakeside</t>
        </is>
      </c>
      <c r="U82" s="4" t="inlineStr">
        <is>
          <t>Historic, Arts &amp; Culture, Nature-Centric</t>
        </is>
      </c>
      <c r="V82" s="8" t="n">
        <v>7</v>
      </c>
      <c r="W82" s="8" t="n">
        <v>6</v>
      </c>
      <c r="X82" s="9" t="n">
        <v>0.78</v>
      </c>
      <c r="Y82" s="9" t="n">
        <v>2074</v>
      </c>
      <c r="Z82" s="9" t="n"/>
      <c r="AA82" s="7" t="n">
        <v>7</v>
      </c>
      <c r="AB82" s="4" t="inlineStr">
        <is>
          <t>Inland Piedmont; low exposure</t>
        </is>
      </c>
      <c r="AC82" s="18" t="n">
        <v>36</v>
      </c>
      <c r="AD82" s="18" t="n">
        <v>16</v>
      </c>
      <c r="AE82" s="18" t="n">
        <v>57</v>
      </c>
    </row>
    <row r="83" ht="15" customHeight="1" s="20">
      <c r="A83" s="7" t="n">
        <v>81</v>
      </c>
      <c r="B83" s="4" t="inlineStr">
        <is>
          <t>Roanoke</t>
        </is>
      </c>
      <c r="C83" s="4" t="inlineStr">
        <is>
          <t>VA</t>
        </is>
      </c>
      <c r="D83" s="4" t="inlineStr">
        <is>
          <t>Blue Ridge Mountain City</t>
        </is>
      </c>
      <c r="E83" s="7" t="n">
        <v>1</v>
      </c>
      <c r="F83" s="4" t="inlineStr">
        <is>
          <t>$4,600–$5,700/mo</t>
        </is>
      </c>
      <c r="G83" s="4" t="inlineStr">
        <is>
          <t>$285,000</t>
        </is>
      </c>
      <c r="H83" s="7" t="n">
        <v>5</v>
      </c>
      <c r="I83" s="7" t="n">
        <v>8</v>
      </c>
      <c r="J83" s="7" t="n">
        <v>7</v>
      </c>
      <c r="K83" s="7" t="n">
        <v>6</v>
      </c>
      <c r="L83" s="7" t="n">
        <v>6</v>
      </c>
      <c r="M83" s="7" t="n">
        <v>8</v>
      </c>
      <c r="N83" s="7" t="n">
        <v>7</v>
      </c>
      <c r="O83" s="7" t="n">
        <v>7</v>
      </c>
      <c r="P83" s="7" t="n">
        <v>7</v>
      </c>
      <c r="Q83" s="7" t="n">
        <v>4</v>
      </c>
      <c r="R83" s="7" t="n">
        <v>7</v>
      </c>
      <c r="S83" s="7" t="n">
        <v>5</v>
      </c>
      <c r="T83" s="4" t="inlineStr">
        <is>
          <t>Mountain, Forest / Green</t>
        </is>
      </c>
      <c r="U83" s="4" t="inlineStr">
        <is>
          <t>Arts &amp; Culture, Nature-Centric, Historic</t>
        </is>
      </c>
      <c r="V83" s="8" t="n">
        <v>7</v>
      </c>
      <c r="W83" s="8" t="n">
        <v>6</v>
      </c>
      <c r="X83" s="9" t="n">
        <v>0.78</v>
      </c>
      <c r="Y83" s="9" t="n">
        <v>2074</v>
      </c>
      <c r="Z83" s="9" t="n"/>
      <c r="AA83" s="7" t="n">
        <v>7</v>
      </c>
      <c r="AB83" s="4" t="inlineStr">
        <is>
          <t>Blue Ridge valley; low catastrophic, some flooding</t>
        </is>
      </c>
      <c r="AC83" s="18" t="n">
        <v>36</v>
      </c>
      <c r="AD83" s="18" t="n">
        <v>15</v>
      </c>
      <c r="AE83" s="18" t="n">
        <v>56</v>
      </c>
    </row>
    <row r="84" ht="15" customHeight="1" s="20">
      <c r="A84" s="7" t="n">
        <v>82</v>
      </c>
      <c r="B84" s="4" t="inlineStr">
        <is>
          <t>Virginia Beach</t>
        </is>
      </c>
      <c r="C84" s="4" t="inlineStr">
        <is>
          <t>VA</t>
        </is>
      </c>
      <c r="D84" s="4" t="inlineStr">
        <is>
          <t>Beach / Metro</t>
        </is>
      </c>
      <c r="E84" s="7" t="n">
        <v>2</v>
      </c>
      <c r="F84" s="4" t="inlineStr">
        <is>
          <t>$5,400–$6,800/mo</t>
        </is>
      </c>
      <c r="G84" s="4" t="inlineStr">
        <is>
          <t>$433,000</t>
        </is>
      </c>
      <c r="H84" s="7" t="n">
        <v>7</v>
      </c>
      <c r="I84" s="7" t="n">
        <v>6</v>
      </c>
      <c r="J84" s="7" t="n">
        <v>8</v>
      </c>
      <c r="K84" s="7" t="n">
        <v>6</v>
      </c>
      <c r="L84" s="7" t="n">
        <v>4</v>
      </c>
      <c r="M84" s="7" t="n">
        <v>7</v>
      </c>
      <c r="N84" s="7" t="n">
        <v>7</v>
      </c>
      <c r="O84" s="7" t="n">
        <v>6</v>
      </c>
      <c r="P84" s="7" t="n">
        <v>7</v>
      </c>
      <c r="Q84" s="7" t="n">
        <v>5</v>
      </c>
      <c r="R84" s="7" t="n">
        <v>6</v>
      </c>
      <c r="S84" s="7" t="n">
        <v>4</v>
      </c>
      <c r="T84" s="4" t="inlineStr">
        <is>
          <t>Beach / Coastal</t>
        </is>
      </c>
      <c r="U84" s="4" t="inlineStr">
        <is>
          <t>Resort / Golf, Quiet &amp; Residential</t>
        </is>
      </c>
      <c r="V84" s="8" t="n">
        <v>8</v>
      </c>
      <c r="W84" s="8" t="n">
        <v>6</v>
      </c>
      <c r="X84" s="9" t="n">
        <v>0.78</v>
      </c>
      <c r="Y84" s="9" t="n">
        <v>2074</v>
      </c>
      <c r="Z84" s="9" t="n"/>
      <c r="AA84" s="7" t="n">
        <v>4</v>
      </c>
      <c r="AB84" s="4" t="inlineStr">
        <is>
          <t>Coastal hurricane + surge + recurrent tidal flooding + sea-level rise</t>
        </is>
      </c>
      <c r="AC84" s="18" t="n">
        <v>41</v>
      </c>
      <c r="AD84" s="18" t="n">
        <v>5</v>
      </c>
      <c r="AE84" s="18" t="n">
        <v>60</v>
      </c>
    </row>
    <row r="85" ht="15" customHeight="1" s="20">
      <c r="A85" s="7" t="n">
        <v>83</v>
      </c>
      <c r="B85" s="4" t="inlineStr">
        <is>
          <t>Spokane</t>
        </is>
      </c>
      <c r="C85" s="4" t="inlineStr">
        <is>
          <t>WA</t>
        </is>
      </c>
      <c r="D85" s="4" t="inlineStr">
        <is>
          <t>Inland / Outdoor</t>
        </is>
      </c>
      <c r="E85" s="7" t="n">
        <v>2</v>
      </c>
      <c r="F85" s="4" t="inlineStr">
        <is>
          <t>$5,300–$6,600/mo</t>
        </is>
      </c>
      <c r="G85" s="4" t="inlineStr">
        <is>
          <t>$404,000</t>
        </is>
      </c>
      <c r="H85" s="7" t="n">
        <v>7</v>
      </c>
      <c r="I85" s="7" t="n">
        <v>7</v>
      </c>
      <c r="J85" s="7" t="n">
        <v>8</v>
      </c>
      <c r="K85" s="7" t="n">
        <v>9</v>
      </c>
      <c r="L85" s="7" t="n">
        <v>6</v>
      </c>
      <c r="M85" s="7" t="n">
        <v>7</v>
      </c>
      <c r="N85" s="7" t="n">
        <v>6</v>
      </c>
      <c r="O85" s="7" t="n">
        <v>3</v>
      </c>
      <c r="P85" s="7" t="n">
        <v>7</v>
      </c>
      <c r="Q85" s="7" t="n">
        <v>3</v>
      </c>
      <c r="R85" s="7" t="n">
        <v>7</v>
      </c>
      <c r="S85" s="7" t="n">
        <v>8</v>
      </c>
      <c r="T85" s="4" t="inlineStr">
        <is>
          <t>Mountain, Lakeside</t>
        </is>
      </c>
      <c r="U85" s="4" t="inlineStr">
        <is>
          <t>Historic, Arts &amp; Culture, Nature-Centric</t>
        </is>
      </c>
      <c r="V85" s="8" t="n">
        <v>4</v>
      </c>
      <c r="W85" s="8" t="n">
        <v>6</v>
      </c>
      <c r="X85" s="9" t="n">
        <v>0.75</v>
      </c>
      <c r="Y85" s="9" t="n">
        <v>1753</v>
      </c>
      <c r="Z85" s="9" t="n"/>
      <c r="AA85" s="7" t="n">
        <v>5</v>
      </c>
      <c r="AB85" s="4" t="inlineStr">
        <is>
          <t>Wildfire + smoke (eastern WA)</t>
        </is>
      </c>
      <c r="AC85" s="18" t="n">
        <v>28</v>
      </c>
      <c r="AD85" s="18" t="n">
        <v>44</v>
      </c>
      <c r="AE85" s="18" t="n">
        <v>51</v>
      </c>
    </row>
    <row r="86" ht="15" customHeight="1" s="20">
      <c r="A86" s="7" t="n">
        <v>84</v>
      </c>
      <c r="B86" s="4" t="inlineStr">
        <is>
          <t>Madison</t>
        </is>
      </c>
      <c r="C86" s="4" t="inlineStr">
        <is>
          <t>WI</t>
        </is>
      </c>
      <c r="D86" s="4" t="inlineStr">
        <is>
          <t>College Town / Lakes</t>
        </is>
      </c>
      <c r="E86" s="7" t="n">
        <v>2</v>
      </c>
      <c r="F86" s="4" t="inlineStr">
        <is>
          <t>$5,500–$6,800/mo</t>
        </is>
      </c>
      <c r="G86" s="4" t="inlineStr">
        <is>
          <t>$435,000</t>
        </is>
      </c>
      <c r="H86" s="7" t="n">
        <v>6</v>
      </c>
      <c r="I86" s="7" t="n">
        <v>6</v>
      </c>
      <c r="J86" s="7" t="n">
        <v>8</v>
      </c>
      <c r="K86" s="7" t="n">
        <v>5</v>
      </c>
      <c r="L86" s="7" t="n">
        <v>5</v>
      </c>
      <c r="M86" s="7" t="n">
        <v>7</v>
      </c>
      <c r="N86" s="7" t="n">
        <v>7</v>
      </c>
      <c r="O86" s="7" t="n">
        <v>6</v>
      </c>
      <c r="P86" s="7" t="n">
        <v>8</v>
      </c>
      <c r="Q86" s="7" t="n">
        <v>2</v>
      </c>
      <c r="R86" s="7" t="n">
        <v>7</v>
      </c>
      <c r="S86" s="7" t="n">
        <v>5</v>
      </c>
      <c r="T86" s="4" t="inlineStr">
        <is>
          <t>Lakeside</t>
        </is>
      </c>
      <c r="U86" s="4" t="inlineStr">
        <is>
          <t>College Town, Arts &amp; Culture, Nature-Centric</t>
        </is>
      </c>
      <c r="V86" s="8" t="n">
        <v>6</v>
      </c>
      <c r="W86" s="8" t="n">
        <v>5</v>
      </c>
      <c r="X86" s="9" t="n">
        <v>1.32</v>
      </c>
      <c r="Y86" s="9" t="n">
        <v>1812</v>
      </c>
      <c r="Z86" s="9" t="n"/>
      <c r="AA86" s="7" t="n">
        <v>8</v>
      </c>
      <c r="AB86" s="4" t="inlineStr">
        <is>
          <t>Severe storms only; low catastrophic exposure</t>
        </is>
      </c>
      <c r="AC86" s="18" t="n">
        <v>19</v>
      </c>
      <c r="AD86" s="18" t="n">
        <v>51</v>
      </c>
      <c r="AE86" s="18" t="n">
        <v>54</v>
      </c>
    </row>
    <row r="87" ht="15" customHeight="1" s="20">
      <c r="A87" s="7" t="n">
        <v>85</v>
      </c>
      <c r="B87" s="4" t="inlineStr">
        <is>
          <t>Casper</t>
        </is>
      </c>
      <c r="C87" s="4" t="inlineStr">
        <is>
          <t>WY</t>
        </is>
      </c>
      <c r="D87" s="4" t="inlineStr">
        <is>
          <t>Small City / Outdoor</t>
        </is>
      </c>
      <c r="E87" s="7" t="n">
        <v>1</v>
      </c>
      <c r="F87" s="4" t="inlineStr">
        <is>
          <t>$4,800–$5,900/mo</t>
        </is>
      </c>
      <c r="G87" s="4" t="inlineStr">
        <is>
          <t>$314,000</t>
        </is>
      </c>
      <c r="H87" s="7" t="n">
        <v>4</v>
      </c>
      <c r="I87" s="7" t="n">
        <v>8</v>
      </c>
      <c r="J87" s="7" t="n">
        <v>6</v>
      </c>
      <c r="K87" s="7" t="n">
        <v>10</v>
      </c>
      <c r="L87" s="7" t="n">
        <v>3</v>
      </c>
      <c r="M87" s="7" t="n">
        <v>8</v>
      </c>
      <c r="N87" s="7" t="n">
        <v>6</v>
      </c>
      <c r="O87" s="7" t="n">
        <v>8</v>
      </c>
      <c r="P87" s="7" t="n">
        <v>6</v>
      </c>
      <c r="Q87" s="7" t="n">
        <v>2</v>
      </c>
      <c r="R87" s="7" t="n">
        <v>5</v>
      </c>
      <c r="S87" s="7" t="n">
        <v>4</v>
      </c>
      <c r="T87" s="4" t="inlineStr">
        <is>
          <t>Mountain, Forest / Green</t>
        </is>
      </c>
      <c r="U87" s="4" t="inlineStr">
        <is>
          <t>Quiet &amp; Residential, Nature-Centric</t>
        </is>
      </c>
      <c r="V87" s="8" t="n">
        <v>3</v>
      </c>
      <c r="W87" s="8" t="n">
        <v>6</v>
      </c>
      <c r="X87" s="9" t="n">
        <v>0.53</v>
      </c>
      <c r="Y87" s="9" t="n">
        <v>2075</v>
      </c>
      <c r="Z87" s="9" t="n"/>
      <c r="AA87" s="7" t="n">
        <v>7</v>
      </c>
      <c r="AB87" s="4" t="inlineStr">
        <is>
          <t>High-plains wind/severe weather; low catastrophic, low density</t>
        </is>
      </c>
      <c r="AC87" s="18" t="n">
        <v>26</v>
      </c>
      <c r="AD87" s="18" t="n">
        <v>76</v>
      </c>
      <c r="AE87" s="18" t="n">
        <v>65</v>
      </c>
    </row>
    <row r="88" ht="15" customHeight="1" s="20">
      <c r="A88" s="7" t="n">
        <v>86</v>
      </c>
      <c r="B88" s="4" t="inlineStr">
        <is>
          <t>Jackson Hole</t>
        </is>
      </c>
      <c r="C88" s="4" t="inlineStr">
        <is>
          <t>WY</t>
        </is>
      </c>
      <c r="D88" s="4" t="inlineStr">
        <is>
          <t>Mountain / Luxury</t>
        </is>
      </c>
      <c r="E88" s="7" t="n">
        <v>5</v>
      </c>
      <c r="F88" s="4" t="inlineStr">
        <is>
          <t>$12,700–$15,900/mo</t>
        </is>
      </c>
      <c r="G88" s="4" t="inlineStr">
        <is>
          <t>$1,961,000</t>
        </is>
      </c>
      <c r="H88" s="7" t="n">
        <v>8</v>
      </c>
      <c r="I88" s="7" t="n">
        <v>1</v>
      </c>
      <c r="J88" s="7" t="n">
        <v>4</v>
      </c>
      <c r="K88" s="7" t="n">
        <v>10</v>
      </c>
      <c r="L88" s="7" t="n">
        <v>7</v>
      </c>
      <c r="M88" s="7" t="n">
        <v>10</v>
      </c>
      <c r="N88" s="7" t="n">
        <v>7</v>
      </c>
      <c r="O88" s="7" t="n">
        <v>8</v>
      </c>
      <c r="P88" s="7" t="n">
        <v>7</v>
      </c>
      <c r="Q88" s="7" t="n">
        <v>2</v>
      </c>
      <c r="R88" s="7" t="n">
        <v>8</v>
      </c>
      <c r="S88" s="7" t="n">
        <v>9</v>
      </c>
      <c r="T88" s="4" t="inlineStr">
        <is>
          <t>Mountain, Lakeside</t>
        </is>
      </c>
      <c r="U88" s="4" t="inlineStr">
        <is>
          <t>Historic, Arts &amp; Culture, Nature-Centric</t>
        </is>
      </c>
      <c r="V88" s="8" t="n">
        <v>3</v>
      </c>
      <c r="W88" s="8" t="n">
        <v>3</v>
      </c>
      <c r="X88" s="9" t="n">
        <v>0.53</v>
      </c>
      <c r="Y88" s="9" t="n">
        <v>2075</v>
      </c>
      <c r="Z88" s="9" t="n"/>
      <c r="AA88" s="7" t="n">
        <v>6</v>
      </c>
      <c r="AB88" s="4" t="inlineStr">
        <is>
          <t>Mountain wildfire + Teton seismic + remoteness; low insurance stress</t>
        </is>
      </c>
      <c r="AC88" s="18" t="n">
        <v>17</v>
      </c>
      <c r="AD88" s="18" t="n">
        <v>100</v>
      </c>
      <c r="AE88" s="18" t="n">
        <v>60</v>
      </c>
    </row>
    <row r="89" ht="15" customHeight="1" s="20">
      <c r="A89" s="7" t="n">
        <v>87</v>
      </c>
      <c r="B89" s="4" t="inlineStr">
        <is>
          <t>Iowa City</t>
        </is>
      </c>
      <c r="C89" s="4" t="inlineStr">
        <is>
          <t>IA</t>
        </is>
      </c>
      <c r="D89" s="4" t="inlineStr">
        <is>
          <t>College Town / University Hub</t>
        </is>
      </c>
      <c r="E89" s="7" t="n">
        <v>1</v>
      </c>
      <c r="F89" s="4" t="inlineStr">
        <is>
          <t>$4,700–$5,900/mo</t>
        </is>
      </c>
      <c r="G89" s="4" t="inlineStr">
        <is>
          <t>$306,000</t>
        </is>
      </c>
      <c r="H89" s="7" t="n">
        <v>5</v>
      </c>
      <c r="I89" s="7" t="n">
        <v>8</v>
      </c>
      <c r="J89" s="7" t="n">
        <v>9</v>
      </c>
      <c r="K89" s="7" t="n">
        <v>8</v>
      </c>
      <c r="L89" s="7" t="n">
        <v>7</v>
      </c>
      <c r="M89" s="7" t="n">
        <v>5</v>
      </c>
      <c r="N89" s="7" t="n">
        <v>5</v>
      </c>
      <c r="O89" s="7" t="n">
        <v>7</v>
      </c>
      <c r="P89" s="7" t="n">
        <v>7</v>
      </c>
      <c r="Q89" s="7" t="n">
        <v>2</v>
      </c>
      <c r="R89" s="7" t="n">
        <v>6</v>
      </c>
      <c r="S89" s="7" t="n">
        <v>3</v>
      </c>
      <c r="T89" s="4" t="inlineStr">
        <is>
          <t>Forest / Green</t>
        </is>
      </c>
      <c r="U89" s="4" t="inlineStr">
        <is>
          <t>College Town, Urban Neighborhood, Arts &amp; Culture</t>
        </is>
      </c>
      <c r="V89" s="8" t="n">
        <v>7</v>
      </c>
      <c r="W89" s="8" t="n">
        <v>6</v>
      </c>
      <c r="X89" s="9" t="n">
        <v>1.33</v>
      </c>
      <c r="Y89" s="9" t="n">
        <v>2902</v>
      </c>
      <c r="Z89" s="9" t="n"/>
      <c r="AA89" s="7" t="n">
        <v>7</v>
      </c>
      <c r="AB89" s="4" t="inlineStr">
        <is>
          <t>Severe storms + river flooding</t>
        </is>
      </c>
      <c r="AC89" s="18" t="n">
        <v>23</v>
      </c>
      <c r="AD89" s="18" t="n">
        <v>30</v>
      </c>
      <c r="AE89" s="18" t="n">
        <v>57</v>
      </c>
    </row>
    <row r="90" ht="15" customHeight="1" s="20">
      <c r="A90" s="7" t="n">
        <v>88</v>
      </c>
      <c r="B90" s="4" t="inlineStr">
        <is>
          <t>Eureka Springs</t>
        </is>
      </c>
      <c r="C90" s="4" t="inlineStr">
        <is>
          <t>AR</t>
        </is>
      </c>
      <c r="D90" s="4" t="inlineStr">
        <is>
          <t>Mountain Arts Town</t>
        </is>
      </c>
      <c r="E90" s="7" t="n">
        <v>1</v>
      </c>
      <c r="F90" s="4" t="inlineStr">
        <is>
          <t>$4,600–$5,700/mo</t>
        </is>
      </c>
      <c r="G90" s="4" t="inlineStr">
        <is>
          <t>$318,000</t>
        </is>
      </c>
      <c r="H90" s="7" t="n">
        <v>4</v>
      </c>
      <c r="I90" s="7" t="n">
        <v>8</v>
      </c>
      <c r="J90" s="7" t="n">
        <v>4</v>
      </c>
      <c r="K90" s="7" t="n">
        <v>7</v>
      </c>
      <c r="L90" s="7" t="n">
        <v>6</v>
      </c>
      <c r="M90" s="7" t="n">
        <v>7</v>
      </c>
      <c r="N90" s="7" t="n">
        <v>4</v>
      </c>
      <c r="O90" s="7" t="n">
        <v>6</v>
      </c>
      <c r="P90" s="7" t="n">
        <v>7</v>
      </c>
      <c r="Q90" s="7" t="n">
        <v>4</v>
      </c>
      <c r="R90" s="7" t="n">
        <v>5</v>
      </c>
      <c r="S90" s="7" t="n">
        <v>3</v>
      </c>
      <c r="T90" s="4" t="inlineStr">
        <is>
          <t>Mountain</t>
        </is>
      </c>
      <c r="U90" s="4" t="inlineStr">
        <is>
          <t>Quiet &amp; Residential, Arts &amp; Culture, Historic</t>
        </is>
      </c>
      <c r="V90" s="8" t="n">
        <v>7</v>
      </c>
      <c r="W90" s="8" t="n">
        <v>6</v>
      </c>
      <c r="X90" s="9" t="n">
        <v>0.5600000000000001</v>
      </c>
      <c r="Y90" s="9" t="n">
        <v>3733</v>
      </c>
      <c r="Z90" s="9" t="n"/>
      <c r="AA90" s="7" t="n">
        <v>6</v>
      </c>
      <c r="AB90" s="4" t="inlineStr">
        <is>
          <t>Ozarks severe storms; low overall</t>
        </is>
      </c>
      <c r="AC90" s="18" t="n">
        <v>35</v>
      </c>
      <c r="AD90" s="18" t="n">
        <v>9</v>
      </c>
      <c r="AE90" s="18" t="n">
        <v>60</v>
      </c>
    </row>
    <row r="91" ht="15" customHeight="1" s="20">
      <c r="A91" s="7" t="n">
        <v>89</v>
      </c>
      <c r="B91" s="4" t="inlineStr">
        <is>
          <t>Miami</t>
        </is>
      </c>
      <c r="C91" s="4" t="inlineStr">
        <is>
          <t>FL</t>
        </is>
      </c>
      <c r="D91" s="4" t="inlineStr">
        <is>
          <t>Major Metro / Beach</t>
        </is>
      </c>
      <c r="E91" s="7" t="n">
        <v>3</v>
      </c>
      <c r="F91" s="4" t="inlineStr">
        <is>
          <t>$6,500–$8,000/mo</t>
        </is>
      </c>
      <c r="G91" s="4" t="inlineStr">
        <is>
          <t>$583,000</t>
        </is>
      </c>
      <c r="H91" s="7" t="n">
        <v>10</v>
      </c>
      <c r="I91" s="7" t="n">
        <v>5</v>
      </c>
      <c r="J91" s="7" t="n">
        <v>9</v>
      </c>
      <c r="K91" s="7" t="n">
        <v>10</v>
      </c>
      <c r="L91" s="7" t="n">
        <v>7</v>
      </c>
      <c r="M91" s="7" t="n">
        <v>6</v>
      </c>
      <c r="N91" s="7" t="n">
        <v>7</v>
      </c>
      <c r="O91" s="7" t="n">
        <v>7</v>
      </c>
      <c r="P91" s="7" t="n">
        <v>10</v>
      </c>
      <c r="Q91" s="7" t="n">
        <v>10</v>
      </c>
      <c r="R91" s="7" t="n">
        <v>2</v>
      </c>
      <c r="S91" s="7" t="n">
        <v>1</v>
      </c>
      <c r="T91" s="4" t="inlineStr">
        <is>
          <t>Beach / Coastal, Urban / Metro</t>
        </is>
      </c>
      <c r="U91" s="4" t="inlineStr">
        <is>
          <t>Urban Neighborhood, Arts &amp; Culture</t>
        </is>
      </c>
      <c r="V91" s="8" t="n">
        <v>10</v>
      </c>
      <c r="W91" s="8" t="n">
        <v>7</v>
      </c>
      <c r="X91" s="9" t="n">
        <v>0.78</v>
      </c>
      <c r="Y91" s="9" t="n">
        <v>7136</v>
      </c>
      <c r="Z91" s="10" t="inlineStr">
        <is>
          <t>Coastal far above state avg; inland below</t>
        </is>
      </c>
      <c r="AA91" s="7" t="n">
        <v>2</v>
      </c>
      <c r="AB91" s="4" t="inlineStr">
        <is>
          <t>Hurricane + surge + sea-level rise; Florida's high-cost insurance market</t>
        </is>
      </c>
      <c r="AC91" s="18" t="n">
        <v>69</v>
      </c>
      <c r="AD91" s="18" t="n">
        <v>0</v>
      </c>
      <c r="AE91" s="18" t="n">
        <v>70</v>
      </c>
    </row>
    <row r="92" ht="15" customHeight="1" s="20">
      <c r="A92" s="7" t="n">
        <v>90</v>
      </c>
      <c r="B92" s="4" t="inlineStr">
        <is>
          <t>La Crosse</t>
        </is>
      </c>
      <c r="C92" s="4" t="inlineStr">
        <is>
          <t>WI</t>
        </is>
      </c>
      <c r="D92" s="4" t="inlineStr">
        <is>
          <t>River City / College Town</t>
        </is>
      </c>
      <c r="E92" s="7" t="n">
        <v>1</v>
      </c>
      <c r="F92" s="4" t="inlineStr">
        <is>
          <t>$4,700–$5,800/mo</t>
        </is>
      </c>
      <c r="G92" s="4" t="inlineStr">
        <is>
          <t>$289,000</t>
        </is>
      </c>
      <c r="H92" s="7" t="n">
        <v>4</v>
      </c>
      <c r="I92" s="7" t="n">
        <v>8</v>
      </c>
      <c r="J92" s="7" t="n">
        <v>9</v>
      </c>
      <c r="K92" s="7" t="n">
        <v>6</v>
      </c>
      <c r="L92" s="7" t="n">
        <v>5</v>
      </c>
      <c r="M92" s="7" t="n">
        <v>8</v>
      </c>
      <c r="N92" s="7" t="n">
        <v>6</v>
      </c>
      <c r="O92" s="7" t="n">
        <v>5</v>
      </c>
      <c r="P92" s="7" t="n">
        <v>6</v>
      </c>
      <c r="Q92" s="7" t="n">
        <v>2</v>
      </c>
      <c r="R92" s="7" t="n">
        <v>6</v>
      </c>
      <c r="S92" s="7" t="n">
        <v>4</v>
      </c>
      <c r="T92" s="4" t="inlineStr">
        <is>
          <t>Forest / Green, Lakeside</t>
        </is>
      </c>
      <c r="U92" s="4" t="inlineStr">
        <is>
          <t>Nature-Centric, College Town, Quiet &amp; Residential</t>
        </is>
      </c>
      <c r="V92" s="8" t="n">
        <v>6</v>
      </c>
      <c r="W92" s="8" t="n">
        <v>6</v>
      </c>
      <c r="X92" s="9" t="n">
        <v>1.32</v>
      </c>
      <c r="Y92" s="9" t="n">
        <v>1812</v>
      </c>
      <c r="Z92" s="9" t="n"/>
      <c r="AA92" s="7" t="n">
        <v>7</v>
      </c>
      <c r="AB92" s="4" t="inlineStr">
        <is>
          <t>Mississippi River flooding; otherwise low</t>
        </is>
      </c>
      <c r="AC92" s="18" t="n">
        <v>19</v>
      </c>
      <c r="AD92" s="18" t="n">
        <v>44</v>
      </c>
      <c r="AE92" s="18" t="n">
        <v>55</v>
      </c>
    </row>
    <row r="93" ht="15" customHeight="1" s="20">
      <c r="A93" s="7" t="n">
        <v>91</v>
      </c>
      <c r="B93" s="4" t="inlineStr">
        <is>
          <t>Pinehurst</t>
        </is>
      </c>
      <c r="C93" s="4" t="inlineStr">
        <is>
          <t>NC</t>
        </is>
      </c>
      <c r="D93" s="4" t="inlineStr">
        <is>
          <t>Resort / Golf</t>
        </is>
      </c>
      <c r="E93" s="7" t="n">
        <v>3</v>
      </c>
      <c r="F93" s="4" t="inlineStr">
        <is>
          <t>$5,900–$7,300/mo</t>
        </is>
      </c>
      <c r="G93" s="4" t="inlineStr">
        <is>
          <t>$542,000</t>
        </is>
      </c>
      <c r="H93" s="7" t="n">
        <v>5</v>
      </c>
      <c r="I93" s="7" t="n">
        <v>5</v>
      </c>
      <c r="J93" s="7" t="n">
        <v>8</v>
      </c>
      <c r="K93" s="7" t="n">
        <v>6</v>
      </c>
      <c r="L93" s="7" t="n">
        <v>5</v>
      </c>
      <c r="M93" s="7" t="n">
        <v>6</v>
      </c>
      <c r="N93" s="7" t="n">
        <v>9</v>
      </c>
      <c r="O93" s="7" t="n">
        <v>9</v>
      </c>
      <c r="P93" s="7" t="n">
        <v>7</v>
      </c>
      <c r="Q93" s="7" t="n">
        <v>7</v>
      </c>
      <c r="R93" s="7" t="n">
        <v>5</v>
      </c>
      <c r="S93" s="7" t="n">
        <v>4</v>
      </c>
      <c r="T93" s="4" t="inlineStr">
        <is>
          <t>Forest / Green</t>
        </is>
      </c>
      <c r="U93" s="4" t="inlineStr">
        <is>
          <t>Resort / Golf, Quiet &amp; Residential</t>
        </is>
      </c>
      <c r="V93" s="8" t="n">
        <v>8</v>
      </c>
      <c r="W93" s="8" t="n">
        <v>7</v>
      </c>
      <c r="X93" s="9" t="n">
        <v>0.66</v>
      </c>
      <c r="Y93" s="9" t="n">
        <v>3124</v>
      </c>
      <c r="Z93" s="10" t="inlineStr">
        <is>
          <t>Coastal above state avg</t>
        </is>
      </c>
      <c r="AA93" s="7" t="n">
        <v>7</v>
      </c>
      <c r="AB93" s="4" t="inlineStr">
        <is>
          <t>Sandhills inland; low exposure</t>
        </is>
      </c>
      <c r="AC93" s="18" t="n">
        <v>42</v>
      </c>
      <c r="AD93" s="18" t="n">
        <v>3</v>
      </c>
      <c r="AE93" s="18" t="n">
        <v>60</v>
      </c>
    </row>
    <row r="94" ht="15" customHeight="1" s="20">
      <c r="A94" s="7" t="n">
        <v>92</v>
      </c>
      <c r="B94" s="4" t="inlineStr">
        <is>
          <t>Bentonville</t>
        </is>
      </c>
      <c r="C94" s="4" t="inlineStr">
        <is>
          <t>AR</t>
        </is>
      </c>
      <c r="D94" s="4" t="inlineStr">
        <is>
          <t>Small City / Cultural / Ozarks</t>
        </is>
      </c>
      <c r="E94" s="7" t="n">
        <v>2</v>
      </c>
      <c r="F94" s="4" t="inlineStr">
        <is>
          <t>$5,600–$6,900/mo</t>
        </is>
      </c>
      <c r="G94" s="4" t="inlineStr">
        <is>
          <t>$497,000</t>
        </is>
      </c>
      <c r="H94" s="7" t="n">
        <v>6</v>
      </c>
      <c r="I94" s="7" t="n">
        <v>6</v>
      </c>
      <c r="J94" s="7" t="n">
        <v>7</v>
      </c>
      <c r="K94" s="7" t="n">
        <v>7</v>
      </c>
      <c r="L94" s="7" t="n">
        <v>5</v>
      </c>
      <c r="M94" s="7" t="n">
        <v>8</v>
      </c>
      <c r="N94" s="7" t="n">
        <v>7</v>
      </c>
      <c r="O94" s="7" t="n">
        <v>8</v>
      </c>
      <c r="P94" s="7" t="n">
        <v>8</v>
      </c>
      <c r="Q94" s="7" t="n">
        <v>4</v>
      </c>
      <c r="R94" s="7" t="n">
        <v>3</v>
      </c>
      <c r="S94" s="7" t="n">
        <v>6</v>
      </c>
      <c r="T94" s="4" t="inlineStr">
        <is>
          <t>Forest / Green</t>
        </is>
      </c>
      <c r="U94" s="4" t="inlineStr">
        <is>
          <t>Arts &amp; Culture, Nature-Centric, Historic</t>
        </is>
      </c>
      <c r="V94" s="8" t="n">
        <v>7</v>
      </c>
      <c r="W94" s="8" t="n">
        <v>7</v>
      </c>
      <c r="X94" s="9" t="n">
        <v>0.5600000000000001</v>
      </c>
      <c r="Y94" s="9" t="n">
        <v>3733</v>
      </c>
      <c r="Z94" s="9" t="n"/>
      <c r="AA94" s="7" t="n">
        <v>6</v>
      </c>
      <c r="AB94" s="4" t="inlineStr">
        <is>
          <t>NW-AR tornado/severe storms</t>
        </is>
      </c>
      <c r="AC94" s="18" t="n">
        <v>36</v>
      </c>
      <c r="AD94" s="18" t="n">
        <v>11</v>
      </c>
      <c r="AE94" s="18" t="n">
        <v>60</v>
      </c>
    </row>
    <row r="95" ht="15" customHeight="1" s="20">
      <c r="A95" s="7" t="n">
        <v>93</v>
      </c>
      <c r="B95" s="4" t="inlineStr">
        <is>
          <t>Boulder</t>
        </is>
      </c>
      <c r="C95" s="4" t="inlineStr">
        <is>
          <t>CO</t>
        </is>
      </c>
      <c r="D95" s="4" t="inlineStr">
        <is>
          <t>College Town / Mountain / Outdoor</t>
        </is>
      </c>
      <c r="E95" s="7" t="n">
        <v>4</v>
      </c>
      <c r="F95" s="4" t="inlineStr">
        <is>
          <t>$8,000–$10,000/mo</t>
        </is>
      </c>
      <c r="G95" s="4" t="inlineStr">
        <is>
          <t>$972,000</t>
        </is>
      </c>
      <c r="H95" s="7" t="n">
        <v>8</v>
      </c>
      <c r="I95" s="7" t="n">
        <v>3</v>
      </c>
      <c r="J95" s="7" t="n">
        <v>7</v>
      </c>
      <c r="K95" s="7" t="n">
        <v>7</v>
      </c>
      <c r="L95" s="7" t="n">
        <v>8</v>
      </c>
      <c r="M95" s="7" t="n">
        <v>10</v>
      </c>
      <c r="N95" s="7" t="n">
        <v>8</v>
      </c>
      <c r="O95" s="7" t="n">
        <v>7</v>
      </c>
      <c r="P95" s="7" t="n">
        <v>9</v>
      </c>
      <c r="Q95" s="7" t="n">
        <v>5</v>
      </c>
      <c r="R95" s="7" t="n">
        <v>7</v>
      </c>
      <c r="S95" s="7" t="n">
        <v>9</v>
      </c>
      <c r="T95" s="4" t="inlineStr">
        <is>
          <t>Mountain, Forest / Green</t>
        </is>
      </c>
      <c r="U95" s="4" t="inlineStr">
        <is>
          <t>Nature-Centric, Arts &amp; Culture, College Town</t>
        </is>
      </c>
      <c r="V95" s="8" t="n">
        <v>3</v>
      </c>
      <c r="W95" s="8" t="n">
        <v>4</v>
      </c>
      <c r="X95" s="9" t="n">
        <v>0.5</v>
      </c>
      <c r="Y95" s="9" t="n">
        <v>4963</v>
      </c>
      <c r="Z95" s="10" t="inlineStr">
        <is>
          <t>Wildfire/foothill zones above avg</t>
        </is>
      </c>
      <c r="AA95" s="7" t="n">
        <v>4</v>
      </c>
      <c r="AB95" s="4" t="inlineStr">
        <is>
          <t>Marshall Fire (1,000+ homes) + hail + wildfire-urban interface</t>
        </is>
      </c>
      <c r="AC95" s="18" t="n">
        <v>33</v>
      </c>
      <c r="AD95" s="18" t="n">
        <v>88</v>
      </c>
      <c r="AE95" s="18" t="n">
        <v>70</v>
      </c>
    </row>
    <row r="96" ht="15" customHeight="1" s="20">
      <c r="A96" s="7" t="n">
        <v>94</v>
      </c>
      <c r="B96" s="4" t="inlineStr">
        <is>
          <t>Salt Lake City</t>
        </is>
      </c>
      <c r="C96" s="4" t="inlineStr">
        <is>
          <t>UT</t>
        </is>
      </c>
      <c r="D96" s="4" t="inlineStr">
        <is>
          <t>Major Metro / Mountain</t>
        </is>
      </c>
      <c r="E96" s="7" t="n">
        <v>3</v>
      </c>
      <c r="F96" s="4" t="inlineStr">
        <is>
          <t>$6,000–$7,500/mo</t>
        </is>
      </c>
      <c r="G96" s="4" t="inlineStr">
        <is>
          <t>$580,000</t>
        </is>
      </c>
      <c r="H96" s="7" t="n">
        <v>10</v>
      </c>
      <c r="I96" s="7" t="n">
        <v>5</v>
      </c>
      <c r="J96" s="7" t="n">
        <v>10</v>
      </c>
      <c r="K96" s="7" t="n">
        <v>5</v>
      </c>
      <c r="L96" s="7" t="n">
        <v>6</v>
      </c>
      <c r="M96" s="7" t="n">
        <v>10</v>
      </c>
      <c r="N96" s="7" t="n">
        <v>7</v>
      </c>
      <c r="O96" s="7" t="n">
        <v>7</v>
      </c>
      <c r="P96" s="7" t="n">
        <v>8</v>
      </c>
      <c r="Q96" s="7" t="n">
        <v>3</v>
      </c>
      <c r="R96" s="7" t="n">
        <v>5</v>
      </c>
      <c r="S96" s="7" t="n">
        <v>9</v>
      </c>
      <c r="T96" s="4" t="inlineStr">
        <is>
          <t>Mountain, Urban / Metro</t>
        </is>
      </c>
      <c r="U96" s="4" t="inlineStr">
        <is>
          <t>Nature-Centric, Arts &amp; Culture, Historic</t>
        </is>
      </c>
      <c r="V96" s="8" t="n">
        <v>3</v>
      </c>
      <c r="W96" s="8" t="n">
        <v>7</v>
      </c>
      <c r="X96" s="9" t="n">
        <v>0.48</v>
      </c>
      <c r="Y96" s="9" t="n">
        <v>1814</v>
      </c>
      <c r="Z96" s="9" t="n"/>
      <c r="AA96" s="7" t="n">
        <v>6</v>
      </c>
      <c r="AB96" s="4" t="inlineStr">
        <is>
          <t>Wasatch Fault earthquake risk + air-quality inversions + water/drought</t>
        </is>
      </c>
      <c r="AC96" s="18" t="n">
        <v>31</v>
      </c>
      <c r="AD96" s="18" t="n">
        <v>54</v>
      </c>
      <c r="AE96" s="18" t="n">
        <v>66</v>
      </c>
    </row>
    <row r="97" ht="15" customHeight="1" s="20">
      <c r="A97" s="7" t="n">
        <v>95</v>
      </c>
      <c r="B97" s="4" t="inlineStr">
        <is>
          <t>New Orleans</t>
        </is>
      </c>
      <c r="C97" s="4" t="inlineStr">
        <is>
          <t>LA</t>
        </is>
      </c>
      <c r="D97" s="4" t="inlineStr">
        <is>
          <t>Major Metro / Historic / Cultural</t>
        </is>
      </c>
      <c r="E97" s="7" t="n">
        <v>1</v>
      </c>
      <c r="F97" s="4" t="inlineStr">
        <is>
          <t>$4,300–$5,400/mo</t>
        </is>
      </c>
      <c r="G97" s="4" t="inlineStr">
        <is>
          <t>$248,000</t>
        </is>
      </c>
      <c r="H97" s="7" t="n">
        <v>8</v>
      </c>
      <c r="I97" s="7" t="n">
        <v>9</v>
      </c>
      <c r="J97" s="7" t="n">
        <v>9</v>
      </c>
      <c r="K97" s="7" t="n">
        <v>7</v>
      </c>
      <c r="L97" s="7" t="n">
        <v>8</v>
      </c>
      <c r="M97" s="7" t="n">
        <v>5</v>
      </c>
      <c r="N97" s="7" t="n">
        <v>6</v>
      </c>
      <c r="O97" s="7" t="n">
        <v>5</v>
      </c>
      <c r="P97" s="7" t="n">
        <v>10</v>
      </c>
      <c r="Q97" s="7" t="n">
        <v>8</v>
      </c>
      <c r="R97" s="7" t="n">
        <v>2</v>
      </c>
      <c r="S97" s="7" t="n">
        <v>1</v>
      </c>
      <c r="T97" s="4" t="inlineStr">
        <is>
          <t>Urban / Metro, Lakeside</t>
        </is>
      </c>
      <c r="U97" s="4" t="inlineStr">
        <is>
          <t>Historic, Arts &amp; Culture, Live Music</t>
        </is>
      </c>
      <c r="V97" s="8" t="n">
        <v>10</v>
      </c>
      <c r="W97" s="8" t="n">
        <v>8</v>
      </c>
      <c r="X97" s="9" t="n">
        <v>0.55</v>
      </c>
      <c r="Y97" s="9" t="n">
        <v>5986</v>
      </c>
      <c r="Z97" s="10" t="inlineStr">
        <is>
          <t>Coastal well above avg; flood insurance separate</t>
        </is>
      </c>
      <c r="AA97" s="7" t="n">
        <v>1</v>
      </c>
      <c r="AB97" s="4" t="inlineStr">
        <is>
          <t>Hurricane + flooding + subsidence + levee dependence + insurance crisis</t>
        </is>
      </c>
      <c r="AC97" s="18" t="n">
        <v>53</v>
      </c>
      <c r="AD97" s="18" t="n">
        <v>0</v>
      </c>
      <c r="AE97" s="18" t="n">
        <v>60</v>
      </c>
    </row>
    <row r="98" ht="15" customHeight="1" s="20">
      <c r="A98" s="7" t="n">
        <v>96</v>
      </c>
      <c r="B98" s="4" t="inlineStr">
        <is>
          <t>Tulsa</t>
        </is>
      </c>
      <c r="C98" s="4" t="inlineStr">
        <is>
          <t>OK</t>
        </is>
      </c>
      <c r="D98" s="4" t="inlineStr">
        <is>
          <t>Major Metro / Cultural / Plains</t>
        </is>
      </c>
      <c r="E98" s="7" t="n">
        <v>1</v>
      </c>
      <c r="F98" s="4" t="inlineStr">
        <is>
          <t>$4,400–$5,400/mo</t>
        </is>
      </c>
      <c r="G98" s="4" t="inlineStr">
        <is>
          <t>$223,000</t>
        </is>
      </c>
      <c r="H98" s="7" t="n">
        <v>7</v>
      </c>
      <c r="I98" s="7" t="n">
        <v>9</v>
      </c>
      <c r="J98" s="7" t="n">
        <v>8</v>
      </c>
      <c r="K98" s="7" t="n">
        <v>7</v>
      </c>
      <c r="L98" s="7" t="n">
        <v>5</v>
      </c>
      <c r="M98" s="7" t="n">
        <v>5</v>
      </c>
      <c r="N98" s="7" t="n">
        <v>6</v>
      </c>
      <c r="O98" s="7" t="n">
        <v>7</v>
      </c>
      <c r="P98" s="7" t="n">
        <v>8</v>
      </c>
      <c r="Q98" s="7" t="n">
        <v>5</v>
      </c>
      <c r="R98" s="7" t="n">
        <v>3</v>
      </c>
      <c r="S98" s="7" t="n">
        <v>5</v>
      </c>
      <c r="T98" s="4" t="inlineStr">
        <is>
          <t>Urban / Metro, Forest / Green</t>
        </is>
      </c>
      <c r="U98" s="4" t="inlineStr">
        <is>
          <t>Arts &amp; Culture, Live Music, Historic</t>
        </is>
      </c>
      <c r="V98" s="8" t="n">
        <v>7</v>
      </c>
      <c r="W98" s="8" t="n">
        <v>8</v>
      </c>
      <c r="X98" s="9" t="n">
        <v>0.79</v>
      </c>
      <c r="Y98" s="9" t="n">
        <v>5010</v>
      </c>
      <c r="Z98" s="9" t="n"/>
      <c r="AA98" s="7" t="n">
        <v>4</v>
      </c>
      <c r="AB98" s="4" t="inlineStr">
        <is>
          <t>Tornado Alley — tornado, giant hail, ice storms</t>
        </is>
      </c>
      <c r="AC98" s="18" t="n">
        <v>39</v>
      </c>
      <c r="AD98" s="18" t="n">
        <v>8</v>
      </c>
      <c r="AE98" s="18" t="n">
        <v>62</v>
      </c>
    </row>
    <row r="99" ht="15" customHeight="1" s="20">
      <c r="A99" s="7" t="n">
        <v>97</v>
      </c>
      <c r="B99" s="4" t="inlineStr">
        <is>
          <t>Burlington</t>
        </is>
      </c>
      <c r="C99" s="4" t="inlineStr">
        <is>
          <t>VT</t>
        </is>
      </c>
      <c r="D99" s="4" t="inlineStr">
        <is>
          <t>College Town / Lakeside / Outdoor</t>
        </is>
      </c>
      <c r="E99" s="7" t="n">
        <v>3</v>
      </c>
      <c r="F99" s="4" t="inlineStr">
        <is>
          <t>$6,000–$7,500/mo</t>
        </is>
      </c>
      <c r="G99" s="4" t="inlineStr">
        <is>
          <t>$520,000</t>
        </is>
      </c>
      <c r="H99" s="7" t="n">
        <v>6</v>
      </c>
      <c r="I99" s="7" t="n">
        <v>5</v>
      </c>
      <c r="J99" s="7" t="n">
        <v>8</v>
      </c>
      <c r="K99" s="7" t="n">
        <v>3</v>
      </c>
      <c r="L99" s="7" t="n">
        <v>7</v>
      </c>
      <c r="M99" s="7" t="n">
        <v>9</v>
      </c>
      <c r="N99" s="7" t="n">
        <v>7</v>
      </c>
      <c r="O99" s="7" t="n">
        <v>7</v>
      </c>
      <c r="P99" s="7" t="n">
        <v>8</v>
      </c>
      <c r="Q99" s="7" t="n">
        <v>3</v>
      </c>
      <c r="R99" s="7" t="n">
        <v>9</v>
      </c>
      <c r="S99" s="7" t="n">
        <v>5</v>
      </c>
      <c r="T99" s="4" t="inlineStr">
        <is>
          <t>Lakeside, Mountain</t>
        </is>
      </c>
      <c r="U99" s="4" t="inlineStr">
        <is>
          <t>College Town, Nature-Centric, Arts &amp; Culture</t>
        </is>
      </c>
      <c r="V99" s="8" t="n">
        <v>6</v>
      </c>
      <c r="W99" s="8" t="n">
        <v>4</v>
      </c>
      <c r="X99" s="9" t="n">
        <v>1.51</v>
      </c>
      <c r="Y99" s="9" t="n">
        <v>1063</v>
      </c>
      <c r="Z99" s="9" t="n"/>
      <c r="AA99" s="7" t="n">
        <v>7</v>
      </c>
      <c r="AB99" s="4" t="inlineStr">
        <is>
          <t>Catastrophic July-2023 flooding; otherwise low exposure</t>
        </is>
      </c>
      <c r="AC99" s="18" t="n">
        <v>19</v>
      </c>
      <c r="AD99" s="18" t="n">
        <v>70</v>
      </c>
      <c r="AE99" s="18" t="n">
        <v>49</v>
      </c>
    </row>
    <row r="100" ht="15" customHeight="1" s="20">
      <c r="A100" s="7" t="n">
        <v>98</v>
      </c>
      <c r="B100" s="4" t="inlineStr">
        <is>
          <t>Traverse City</t>
        </is>
      </c>
      <c r="C100" s="4" t="inlineStr">
        <is>
          <t>MI</t>
        </is>
      </c>
      <c r="D100" s="4" t="inlineStr">
        <is>
          <t>Resort / Lakeside / Wine Country</t>
        </is>
      </c>
      <c r="E100" s="7" t="n">
        <v>2</v>
      </c>
      <c r="F100" s="4" t="inlineStr">
        <is>
          <t>$5,500–$6,900/mo</t>
        </is>
      </c>
      <c r="G100" s="4" t="inlineStr">
        <is>
          <t>$451,000</t>
        </is>
      </c>
      <c r="H100" s="7" t="n">
        <v>6</v>
      </c>
      <c r="I100" s="7" t="n">
        <v>6</v>
      </c>
      <c r="J100" s="7" t="n">
        <v>8</v>
      </c>
      <c r="K100" s="7" t="n">
        <v>7</v>
      </c>
      <c r="L100" s="7" t="n">
        <v>6</v>
      </c>
      <c r="M100" s="7" t="n">
        <v>8</v>
      </c>
      <c r="N100" s="7" t="n">
        <v>7</v>
      </c>
      <c r="O100" s="7" t="n">
        <v>8</v>
      </c>
      <c r="P100" s="7" t="n">
        <v>8</v>
      </c>
      <c r="Q100" s="7" t="n">
        <v>3</v>
      </c>
      <c r="R100" s="7" t="n">
        <v>9</v>
      </c>
      <c r="S100" s="7" t="n">
        <v>4</v>
      </c>
      <c r="T100" s="4" t="inlineStr">
        <is>
          <t>Lakeside, Forest / Green</t>
        </is>
      </c>
      <c r="U100" s="4" t="inlineStr">
        <is>
          <t>Nature-Centric, Resort / Golf, Arts &amp; Culture</t>
        </is>
      </c>
      <c r="V100" s="8" t="n">
        <v>6</v>
      </c>
      <c r="W100" s="8" t="n">
        <v>4</v>
      </c>
      <c r="X100" s="9" t="n">
        <v>1.19</v>
      </c>
      <c r="Y100" s="9" t="n">
        <v>2924</v>
      </c>
      <c r="Z100" s="9" t="n"/>
      <c r="AA100" s="7" t="n">
        <v>9</v>
      </c>
      <c r="AB100" s="4" t="inlineStr">
        <is>
          <t>Great Lakes; minimal catastrophic exposure</t>
        </is>
      </c>
      <c r="AC100" s="18" t="n">
        <v>24</v>
      </c>
      <c r="AD100" s="18" t="n">
        <v>82</v>
      </c>
      <c r="AE100" s="18" t="n">
        <v>45</v>
      </c>
    </row>
    <row r="101" ht="15" customHeight="1" s="20">
      <c r="A101" s="7" t="n">
        <v>99</v>
      </c>
      <c r="B101" s="4" t="inlineStr">
        <is>
          <t>Provincetown</t>
        </is>
      </c>
      <c r="C101" s="4" t="inlineStr">
        <is>
          <t>MA</t>
        </is>
      </c>
      <c r="D101" s="4" t="inlineStr">
        <is>
          <t>Coastal Resort / Arts Colony</t>
        </is>
      </c>
      <c r="E101" s="7" t="n">
        <v>5</v>
      </c>
      <c r="F101" s="4" t="inlineStr">
        <is>
          <t>$8,900–$11,000/mo</t>
        </is>
      </c>
      <c r="G101" s="4" t="inlineStr">
        <is>
          <t>$1,078,000</t>
        </is>
      </c>
      <c r="H101" s="7" t="n">
        <v>4</v>
      </c>
      <c r="I101" s="7" t="n">
        <v>2</v>
      </c>
      <c r="J101" s="7" t="n">
        <v>4</v>
      </c>
      <c r="K101" s="7" t="n">
        <v>4</v>
      </c>
      <c r="L101" s="7" t="n">
        <v>9</v>
      </c>
      <c r="M101" s="7" t="n">
        <v>8</v>
      </c>
      <c r="N101" s="7" t="n">
        <v>7</v>
      </c>
      <c r="O101" s="7" t="n">
        <v>7</v>
      </c>
      <c r="P101" s="7" t="n">
        <v>9</v>
      </c>
      <c r="Q101" s="7" t="n">
        <v>4</v>
      </c>
      <c r="R101" s="7" t="n">
        <v>8</v>
      </c>
      <c r="S101" s="7" t="n">
        <v>5</v>
      </c>
      <c r="T101" s="4" t="inlineStr">
        <is>
          <t>Beach / Coastal</t>
        </is>
      </c>
      <c r="U101" s="4" t="inlineStr">
        <is>
          <t>Arts &amp; Culture, Quiet &amp; Residential, Resort / Golf</t>
        </is>
      </c>
      <c r="V101" s="8" t="n">
        <v>7</v>
      </c>
      <c r="W101" s="8" t="n">
        <v>3</v>
      </c>
      <c r="X101" s="9" t="n">
        <v>1</v>
      </c>
      <c r="Y101" s="9" t="n">
        <v>1483</v>
      </c>
      <c r="Z101" s="9" t="n"/>
      <c r="AA101" s="7" t="n">
        <v>4</v>
      </c>
      <c r="AB101" s="4" t="inlineStr">
        <is>
          <t>Outer Cape — coastal storms, surge, erosion, sea-level rise, isolation</t>
        </is>
      </c>
      <c r="AC101" s="18" t="n">
        <v>32</v>
      </c>
      <c r="AD101" s="18" t="n">
        <v>30</v>
      </c>
      <c r="AE101" s="18" t="n">
        <v>57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6" customWidth="1" style="18" min="1" max="1"/>
    <col width="13" customWidth="1" style="18" min="2" max="10"/>
    <col width="8" customWidth="1" style="18" min="11" max="11"/>
    <col width="8.67188" customWidth="1" style="18" min="12" max="16384"/>
  </cols>
  <sheetData>
    <row r="1" ht="17.25" customHeight="1" s="20">
      <c r="A1" s="3" t="inlineStr">
        <is>
          <t>RetireMeHere — Scores by Dimension (Total = sum of D1+D2+D3+D5+D6+D7+D8+D9+D10)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 ht="27.75" customHeight="1" s="20">
      <c r="A2" s="6" t="inlineStr">
        <is>
          <t>City / State</t>
        </is>
      </c>
      <c r="B2" s="6" t="inlineStr">
        <is>
          <t>D1 Airport</t>
        </is>
      </c>
      <c r="C2" s="6" t="inlineStr">
        <is>
          <t>D2 Budget</t>
        </is>
      </c>
      <c r="D2" s="6" t="inlineStr">
        <is>
          <t>D3 Healthcare</t>
        </is>
      </c>
      <c r="E2" s="6" t="inlineStr">
        <is>
          <t>D5 Tax</t>
        </is>
      </c>
      <c r="F2" s="6" t="inlineStr">
        <is>
          <t>D6 Walkability</t>
        </is>
      </c>
      <c r="G2" s="6" t="inlineStr">
        <is>
          <t>D7 Outdoor</t>
        </is>
      </c>
      <c r="H2" s="6" t="inlineStr">
        <is>
          <t>D8 Wellness</t>
        </is>
      </c>
      <c r="I2" s="6" t="inlineStr">
        <is>
          <t>D9 Safety</t>
        </is>
      </c>
      <c r="J2" s="6" t="inlineStr">
        <is>
          <t>D10 Community</t>
        </is>
      </c>
      <c r="K2" s="6" t="inlineStr">
        <is>
          <t>Total</t>
        </is>
      </c>
    </row>
    <row r="3" ht="15" customHeight="1" s="20">
      <c r="A3" s="4" t="inlineStr">
        <is>
          <t>Naples, FL</t>
        </is>
      </c>
      <c r="B3" s="7" t="n">
        <v>8</v>
      </c>
      <c r="C3" s="7" t="n">
        <v>3</v>
      </c>
      <c r="D3" s="7" t="n">
        <v>10</v>
      </c>
      <c r="E3" s="7" t="n">
        <v>9</v>
      </c>
      <c r="F3" s="7" t="n">
        <v>5</v>
      </c>
      <c r="G3" s="7" t="n">
        <v>6</v>
      </c>
      <c r="H3" s="7" t="n">
        <v>10</v>
      </c>
      <c r="I3" s="7" t="n">
        <v>9</v>
      </c>
      <c r="J3" s="7" t="n">
        <v>8</v>
      </c>
      <c r="K3" s="7">
        <f t="array" ref="K3">SUM(B3:J3)</f>
        <v/>
      </c>
    </row>
    <row r="4" ht="15" customHeight="1" s="20">
      <c r="A4" s="4" t="inlineStr">
        <is>
          <t>St. Petersburg, FL</t>
        </is>
      </c>
      <c r="B4" s="7" t="n">
        <v>8</v>
      </c>
      <c r="C4" s="7" t="n">
        <v>6</v>
      </c>
      <c r="D4" s="7" t="n">
        <v>7</v>
      </c>
      <c r="E4" s="7" t="n">
        <v>9</v>
      </c>
      <c r="F4" s="7" t="n">
        <v>8</v>
      </c>
      <c r="G4" s="7" t="n">
        <v>7</v>
      </c>
      <c r="H4" s="7" t="n">
        <v>8</v>
      </c>
      <c r="I4" s="7" t="n">
        <v>6</v>
      </c>
      <c r="J4" s="7" t="n">
        <v>9</v>
      </c>
      <c r="K4" s="7">
        <f t="array" ref="K4">SUM(B4:J4)</f>
        <v/>
      </c>
    </row>
    <row r="5" ht="15" customHeight="1" s="20">
      <c r="A5" s="4" t="inlineStr">
        <is>
          <t>Tampa, FL</t>
        </is>
      </c>
      <c r="B5" s="7" t="n">
        <v>10</v>
      </c>
      <c r="C5" s="7" t="n">
        <v>6</v>
      </c>
      <c r="D5" s="7" t="n">
        <v>10</v>
      </c>
      <c r="E5" s="7" t="n">
        <v>9</v>
      </c>
      <c r="F5" s="7" t="n">
        <v>6</v>
      </c>
      <c r="G5" s="7" t="n">
        <v>6</v>
      </c>
      <c r="H5" s="7" t="n">
        <v>7</v>
      </c>
      <c r="I5" s="7" t="n">
        <v>6</v>
      </c>
      <c r="J5" s="7" t="n">
        <v>8</v>
      </c>
      <c r="K5" s="7">
        <f t="array" ref="K5">SUM(B5:J5)</f>
        <v/>
      </c>
    </row>
    <row r="6" ht="15" customHeight="1" s="20">
      <c r="A6" s="4" t="inlineStr">
        <is>
          <t>Sarasota, FL</t>
        </is>
      </c>
      <c r="B6" s="7" t="n">
        <v>7</v>
      </c>
      <c r="C6" s="7" t="n">
        <v>5</v>
      </c>
      <c r="D6" s="7" t="n">
        <v>10</v>
      </c>
      <c r="E6" s="7" t="n">
        <v>9</v>
      </c>
      <c r="F6" s="7" t="n">
        <v>6</v>
      </c>
      <c r="G6" s="7" t="n">
        <v>6</v>
      </c>
      <c r="H6" s="7" t="n">
        <v>9</v>
      </c>
      <c r="I6" s="7" t="n">
        <v>5</v>
      </c>
      <c r="J6" s="7" t="n">
        <v>9</v>
      </c>
      <c r="K6" s="7">
        <f t="array" ref="K6">SUM(B6:J6)</f>
        <v/>
      </c>
    </row>
    <row r="7" ht="15" customHeight="1" s="20">
      <c r="A7" s="4" t="inlineStr">
        <is>
          <t>Delray Beach, FL</t>
        </is>
      </c>
      <c r="B7" s="7" t="n">
        <v>9</v>
      </c>
      <c r="C7" s="7" t="n">
        <v>6</v>
      </c>
      <c r="D7" s="7" t="n">
        <v>5</v>
      </c>
      <c r="E7" s="7" t="n">
        <v>9</v>
      </c>
      <c r="F7" s="7" t="n">
        <v>8</v>
      </c>
      <c r="G7" s="7" t="n">
        <v>6</v>
      </c>
      <c r="H7" s="7" t="n">
        <v>9</v>
      </c>
      <c r="I7" s="7" t="n">
        <v>7</v>
      </c>
      <c r="J7" s="7" t="n">
        <v>9</v>
      </c>
      <c r="K7" s="7">
        <f t="array" ref="K7">SUM(B7:J7)</f>
        <v/>
      </c>
    </row>
    <row r="8" ht="15" customHeight="1" s="20">
      <c r="A8" s="4" t="inlineStr">
        <is>
          <t>Scottsdale, AZ</t>
        </is>
      </c>
      <c r="B8" s="7" t="n">
        <v>9</v>
      </c>
      <c r="C8" s="7" t="n">
        <v>3</v>
      </c>
      <c r="D8" s="7" t="n">
        <v>10</v>
      </c>
      <c r="E8" s="7" t="n">
        <v>8</v>
      </c>
      <c r="F8" s="7" t="n">
        <v>4</v>
      </c>
      <c r="G8" s="7" t="n">
        <v>8</v>
      </c>
      <c r="H8" s="7" t="n">
        <v>10</v>
      </c>
      <c r="I8" s="7" t="n">
        <v>6</v>
      </c>
      <c r="J8" s="7" t="n">
        <v>8</v>
      </c>
      <c r="K8" s="7">
        <f t="array" ref="K8">SUM(B8:J8)</f>
        <v/>
      </c>
    </row>
    <row r="9" ht="15" customHeight="1" s="20">
      <c r="A9" s="4" t="inlineStr">
        <is>
          <t>Knoxville, TN</t>
        </is>
      </c>
      <c r="B9" s="7" t="n">
        <v>6</v>
      </c>
      <c r="C9" s="7" t="n">
        <v>8</v>
      </c>
      <c r="D9" s="7" t="n">
        <v>8</v>
      </c>
      <c r="E9" s="7" t="n">
        <v>9</v>
      </c>
      <c r="F9" s="7" t="n">
        <v>5</v>
      </c>
      <c r="G9" s="7" t="n">
        <v>8</v>
      </c>
      <c r="H9" s="7" t="n">
        <v>7</v>
      </c>
      <c r="I9" s="7" t="n">
        <v>7</v>
      </c>
      <c r="J9" s="7" t="n">
        <v>8</v>
      </c>
      <c r="K9" s="7">
        <f t="array" ref="K9">SUM(B9:J9)</f>
        <v/>
      </c>
    </row>
    <row r="10" ht="15" customHeight="1" s="20">
      <c r="A10" s="4" t="inlineStr">
        <is>
          <t>Frisco, TX</t>
        </is>
      </c>
      <c r="B10" s="7" t="n">
        <v>9</v>
      </c>
      <c r="C10" s="7" t="n">
        <v>4</v>
      </c>
      <c r="D10" s="7" t="n">
        <v>8</v>
      </c>
      <c r="E10" s="7" t="n">
        <v>8</v>
      </c>
      <c r="F10" s="7" t="n">
        <v>3</v>
      </c>
      <c r="G10" s="7" t="n">
        <v>4</v>
      </c>
      <c r="H10" s="7" t="n">
        <v>8</v>
      </c>
      <c r="I10" s="7" t="n">
        <v>8</v>
      </c>
      <c r="J10" s="7" t="n">
        <v>7</v>
      </c>
      <c r="K10" s="7">
        <f t="array" ref="K10">SUM(B10:J10)</f>
        <v/>
      </c>
    </row>
    <row r="11" ht="15" customHeight="1" s="20">
      <c r="A11" s="4" t="inlineStr">
        <is>
          <t>Ann Arbor, MI</t>
        </is>
      </c>
      <c r="B11" s="7" t="n">
        <v>9</v>
      </c>
      <c r="C11" s="7" t="n">
        <v>5</v>
      </c>
      <c r="D11" s="7" t="n">
        <v>10</v>
      </c>
      <c r="E11" s="7" t="n">
        <v>6</v>
      </c>
      <c r="F11" s="7" t="n">
        <v>8</v>
      </c>
      <c r="G11" s="7" t="n">
        <v>5</v>
      </c>
      <c r="H11" s="7" t="n">
        <v>7</v>
      </c>
      <c r="I11" s="7" t="n">
        <v>7</v>
      </c>
      <c r="J11" s="7" t="n">
        <v>8</v>
      </c>
      <c r="K11" s="7">
        <f t="array" ref="K11">SUM(B11:J11)</f>
        <v/>
      </c>
    </row>
    <row r="12" ht="15" customHeight="1" s="20">
      <c r="A12" s="4" t="inlineStr">
        <is>
          <t>Fayetteville, AR</t>
        </is>
      </c>
      <c r="B12" s="7" t="n">
        <v>6</v>
      </c>
      <c r="C12" s="7" t="n">
        <v>8</v>
      </c>
      <c r="D12" s="7" t="n">
        <v>8</v>
      </c>
      <c r="E12" s="7" t="n">
        <v>7</v>
      </c>
      <c r="F12" s="7" t="n">
        <v>6</v>
      </c>
      <c r="G12" s="7" t="n">
        <v>8</v>
      </c>
      <c r="H12" s="7" t="n">
        <v>7</v>
      </c>
      <c r="I12" s="7" t="n">
        <v>7</v>
      </c>
      <c r="J12" s="7" t="n">
        <v>8</v>
      </c>
      <c r="K12" s="7">
        <f t="array" ref="K12">SUM(B12:J12)</f>
        <v/>
      </c>
    </row>
    <row r="13" ht="15" customHeight="1" s="20">
      <c r="A13" s="4" t="inlineStr">
        <is>
          <t>Charleston, SC</t>
        </is>
      </c>
      <c r="B13" s="7" t="n">
        <v>8</v>
      </c>
      <c r="C13" s="7" t="n">
        <v>5</v>
      </c>
      <c r="D13" s="7" t="n">
        <v>9</v>
      </c>
      <c r="E13" s="7" t="n">
        <v>6</v>
      </c>
      <c r="F13" s="7" t="n">
        <v>7</v>
      </c>
      <c r="G13" s="7" t="n">
        <v>8</v>
      </c>
      <c r="H13" s="7" t="n">
        <v>7</v>
      </c>
      <c r="I13" s="7" t="n">
        <v>5</v>
      </c>
      <c r="J13" s="7" t="n">
        <v>9</v>
      </c>
      <c r="K13" s="7">
        <f t="array" ref="K13">SUM(B13:J13)</f>
        <v/>
      </c>
    </row>
    <row r="14" ht="15" customHeight="1" s="20">
      <c r="A14" s="4" t="inlineStr">
        <is>
          <t>Fort Myers, FL</t>
        </is>
      </c>
      <c r="B14" s="7" t="n">
        <v>9</v>
      </c>
      <c r="C14" s="7" t="n">
        <v>7</v>
      </c>
      <c r="D14" s="7" t="n">
        <v>9</v>
      </c>
      <c r="E14" s="7" t="n">
        <v>9</v>
      </c>
      <c r="F14" s="7" t="n">
        <v>3</v>
      </c>
      <c r="G14" s="7" t="n">
        <v>6</v>
      </c>
      <c r="H14" s="7" t="n">
        <v>8</v>
      </c>
      <c r="I14" s="7" t="n">
        <v>6</v>
      </c>
      <c r="J14" s="7" t="n">
        <v>7</v>
      </c>
      <c r="K14" s="7">
        <f t="array" ref="K14">SUM(B14:J14)</f>
        <v/>
      </c>
    </row>
    <row r="15" ht="15" customHeight="1" s="20">
      <c r="A15" s="4" t="inlineStr">
        <is>
          <t>Nashville, TN</t>
        </is>
      </c>
      <c r="B15" s="7" t="n">
        <v>9</v>
      </c>
      <c r="C15" s="7" t="n">
        <v>5</v>
      </c>
      <c r="D15" s="7" t="n">
        <v>9</v>
      </c>
      <c r="E15" s="7" t="n">
        <v>9</v>
      </c>
      <c r="F15" s="7" t="n">
        <v>5</v>
      </c>
      <c r="G15" s="7" t="n">
        <v>6</v>
      </c>
      <c r="H15" s="7" t="n">
        <v>7</v>
      </c>
      <c r="I15" s="7" t="n">
        <v>5</v>
      </c>
      <c r="J15" s="7" t="n">
        <v>9</v>
      </c>
      <c r="K15" s="7">
        <f t="array" ref="K15">SUM(B15:J15)</f>
        <v/>
      </c>
    </row>
    <row r="16" ht="15" customHeight="1" s="20">
      <c r="A16" s="4" t="inlineStr">
        <is>
          <t>Philadelphia, PA</t>
        </is>
      </c>
      <c r="B16" s="7" t="n">
        <v>8</v>
      </c>
      <c r="C16" s="7" t="n">
        <v>5</v>
      </c>
      <c r="D16" s="7" t="n">
        <v>10</v>
      </c>
      <c r="E16" s="7" t="n">
        <v>6</v>
      </c>
      <c r="F16" s="7" t="n">
        <v>8</v>
      </c>
      <c r="G16" s="7" t="n">
        <v>5</v>
      </c>
      <c r="H16" s="7" t="n">
        <v>7</v>
      </c>
      <c r="I16" s="7" t="n">
        <v>6</v>
      </c>
      <c r="J16" s="7" t="n">
        <v>9</v>
      </c>
      <c r="K16" s="7">
        <f t="array" ref="K16">SUM(B16:J16)</f>
        <v/>
      </c>
    </row>
    <row r="17" ht="15" customHeight="1" s="20">
      <c r="A17" s="4" t="inlineStr">
        <is>
          <t>St. Augustine, FL</t>
        </is>
      </c>
      <c r="B17" s="7" t="n">
        <v>6</v>
      </c>
      <c r="C17" s="7" t="n">
        <v>5</v>
      </c>
      <c r="D17" s="7" t="n">
        <v>8</v>
      </c>
      <c r="E17" s="7" t="n">
        <v>9</v>
      </c>
      <c r="F17" s="7" t="n">
        <v>7</v>
      </c>
      <c r="G17" s="7" t="n">
        <v>6</v>
      </c>
      <c r="H17" s="7" t="n">
        <v>6</v>
      </c>
      <c r="I17" s="7" t="n">
        <v>8</v>
      </c>
      <c r="J17" s="7" t="n">
        <v>9</v>
      </c>
      <c r="K17" s="7">
        <f t="array" ref="K17">SUM(B17:J17)</f>
        <v/>
      </c>
    </row>
    <row r="18" ht="15" customHeight="1" s="20">
      <c r="A18" s="4" t="inlineStr">
        <is>
          <t>Georgetown, TX</t>
        </is>
      </c>
      <c r="B18" s="7" t="n">
        <v>7</v>
      </c>
      <c r="C18" s="7" t="n">
        <v>6</v>
      </c>
      <c r="D18" s="7" t="n">
        <v>6</v>
      </c>
      <c r="E18" s="7" t="n">
        <v>9</v>
      </c>
      <c r="F18" s="7" t="n">
        <v>5</v>
      </c>
      <c r="G18" s="7" t="n">
        <v>5</v>
      </c>
      <c r="H18" s="7" t="n">
        <v>10</v>
      </c>
      <c r="I18" s="7" t="n">
        <v>9</v>
      </c>
      <c r="J18" s="7" t="n">
        <v>7</v>
      </c>
      <c r="K18" s="7">
        <f t="array" ref="K18">SUM(B18:J18)</f>
        <v/>
      </c>
    </row>
    <row r="19" ht="15" customHeight="1" s="20">
      <c r="A19" s="4" t="inlineStr">
        <is>
          <t>St. Louis, MO</t>
        </is>
      </c>
      <c r="B19" s="7" t="n">
        <v>8</v>
      </c>
      <c r="C19" s="7" t="n">
        <v>8</v>
      </c>
      <c r="D19" s="7" t="n">
        <v>10</v>
      </c>
      <c r="E19" s="7" t="n">
        <v>6</v>
      </c>
      <c r="F19" s="7" t="n">
        <v>6</v>
      </c>
      <c r="G19" s="7" t="n">
        <v>6</v>
      </c>
      <c r="H19" s="7" t="n">
        <v>7</v>
      </c>
      <c r="I19" s="7" t="n">
        <v>5</v>
      </c>
      <c r="J19" s="7" t="n">
        <v>8</v>
      </c>
      <c r="K19" s="7">
        <f t="array" ref="K19">SUM(B19:J19)</f>
        <v/>
      </c>
    </row>
    <row r="20" ht="15" customHeight="1" s="20">
      <c r="A20" s="4" t="inlineStr">
        <is>
          <t>Chattanooga, TN</t>
        </is>
      </c>
      <c r="B20" s="7" t="n">
        <v>5</v>
      </c>
      <c r="C20" s="7" t="n">
        <v>9</v>
      </c>
      <c r="D20" s="7" t="n">
        <v>8</v>
      </c>
      <c r="E20" s="7" t="n">
        <v>10</v>
      </c>
      <c r="F20" s="7" t="n">
        <v>6</v>
      </c>
      <c r="G20" s="7" t="n">
        <v>8</v>
      </c>
      <c r="H20" s="7" t="n">
        <v>6</v>
      </c>
      <c r="I20" s="7" t="n">
        <v>4</v>
      </c>
      <c r="J20" s="7" t="n">
        <v>7</v>
      </c>
      <c r="K20" s="7">
        <f t="array" ref="K20">SUM(B20:J20)</f>
        <v/>
      </c>
    </row>
    <row r="21" ht="15" customHeight="1" s="20">
      <c r="A21" s="4" t="inlineStr">
        <is>
          <t>Tucson, AZ</t>
        </is>
      </c>
      <c r="B21" s="7" t="n">
        <v>6</v>
      </c>
      <c r="C21" s="7" t="n">
        <v>8</v>
      </c>
      <c r="D21" s="7" t="n">
        <v>8</v>
      </c>
      <c r="E21" s="7" t="n">
        <v>8</v>
      </c>
      <c r="F21" s="7" t="n">
        <v>4</v>
      </c>
      <c r="G21" s="7" t="n">
        <v>9</v>
      </c>
      <c r="H21" s="7" t="n">
        <v>7</v>
      </c>
      <c r="I21" s="7" t="n">
        <v>5</v>
      </c>
      <c r="J21" s="7" t="n">
        <v>8</v>
      </c>
      <c r="K21" s="7">
        <f t="array" ref="K21">SUM(B21:J21)</f>
        <v/>
      </c>
    </row>
    <row r="22" ht="15" customHeight="1" s="20">
      <c r="A22" s="4" t="inlineStr">
        <is>
          <t>San Antonio, TX</t>
        </is>
      </c>
      <c r="B22" s="7" t="n">
        <v>9</v>
      </c>
      <c r="C22" s="7" t="n">
        <v>6</v>
      </c>
      <c r="D22" s="7" t="n">
        <v>8</v>
      </c>
      <c r="E22" s="7" t="n">
        <v>9</v>
      </c>
      <c r="F22" s="7" t="n">
        <v>5</v>
      </c>
      <c r="G22" s="7" t="n">
        <v>5</v>
      </c>
      <c r="H22" s="7" t="n">
        <v>6</v>
      </c>
      <c r="I22" s="7" t="n">
        <v>7</v>
      </c>
      <c r="J22" s="7" t="n">
        <v>8</v>
      </c>
      <c r="K22" s="7">
        <f t="array" ref="K22">SUM(B22:J22)</f>
        <v/>
      </c>
    </row>
    <row r="23" ht="15" customHeight="1" s="20">
      <c r="A23" s="4" t="inlineStr">
        <is>
          <t>Bend, OR</t>
        </is>
      </c>
      <c r="B23" s="7" t="n">
        <v>6</v>
      </c>
      <c r="C23" s="7" t="n">
        <v>4</v>
      </c>
      <c r="D23" s="7" t="n">
        <v>8</v>
      </c>
      <c r="E23" s="7" t="n">
        <v>6</v>
      </c>
      <c r="F23" s="7" t="n">
        <v>7</v>
      </c>
      <c r="G23" s="7" t="n">
        <v>10</v>
      </c>
      <c r="H23" s="7" t="n">
        <v>7</v>
      </c>
      <c r="I23" s="7" t="n">
        <v>8</v>
      </c>
      <c r="J23" s="7" t="n">
        <v>7</v>
      </c>
      <c r="K23" s="7">
        <f t="array" ref="K23">SUM(B23:J23)</f>
        <v/>
      </c>
    </row>
    <row r="24" ht="15" customHeight="1" s="20">
      <c r="A24" s="4" t="inlineStr">
        <is>
          <t>St. Paul, MN</t>
        </is>
      </c>
      <c r="B24" s="7" t="n">
        <v>10</v>
      </c>
      <c r="C24" s="7" t="n">
        <v>5</v>
      </c>
      <c r="D24" s="7" t="n">
        <v>9</v>
      </c>
      <c r="E24" s="7" t="n">
        <v>3</v>
      </c>
      <c r="F24" s="7" t="n">
        <v>7</v>
      </c>
      <c r="G24" s="7" t="n">
        <v>6</v>
      </c>
      <c r="H24" s="7" t="n">
        <v>7</v>
      </c>
      <c r="I24" s="7" t="n">
        <v>7</v>
      </c>
      <c r="J24" s="7" t="n">
        <v>8</v>
      </c>
      <c r="K24" s="7">
        <f t="array" ref="K24">SUM(B24:J24)</f>
        <v/>
      </c>
    </row>
    <row r="25" ht="15" customHeight="1" s="20">
      <c r="A25" s="4" t="inlineStr">
        <is>
          <t>Jackson Hole, WY</t>
        </is>
      </c>
      <c r="B25" s="7" t="n">
        <v>8</v>
      </c>
      <c r="C25" s="7" t="n">
        <v>1</v>
      </c>
      <c r="D25" s="7" t="n">
        <v>4</v>
      </c>
      <c r="E25" s="7" t="n">
        <v>10</v>
      </c>
      <c r="F25" s="7" t="n">
        <v>7</v>
      </c>
      <c r="G25" s="7" t="n">
        <v>10</v>
      </c>
      <c r="H25" s="7" t="n">
        <v>7</v>
      </c>
      <c r="I25" s="7" t="n">
        <v>8</v>
      </c>
      <c r="J25" s="7" t="n">
        <v>7</v>
      </c>
      <c r="K25" s="7">
        <f t="array" ref="K25">SUM(B25:J25)</f>
        <v/>
      </c>
    </row>
    <row r="26" ht="15" customHeight="1" s="20">
      <c r="A26" s="4" t="inlineStr">
        <is>
          <t>Sioux Falls, SD</t>
        </is>
      </c>
      <c r="B26" s="7" t="n">
        <v>6</v>
      </c>
      <c r="C26" s="7" t="n">
        <v>8</v>
      </c>
      <c r="D26" s="7" t="n">
        <v>8</v>
      </c>
      <c r="E26" s="7" t="n">
        <v>10</v>
      </c>
      <c r="F26" s="7" t="n">
        <v>3</v>
      </c>
      <c r="G26" s="7" t="n">
        <v>5</v>
      </c>
      <c r="H26" s="7" t="n">
        <v>7</v>
      </c>
      <c r="I26" s="7" t="n">
        <v>8</v>
      </c>
      <c r="J26" s="7" t="n">
        <v>7</v>
      </c>
      <c r="K26" s="7">
        <f t="array" ref="K26">SUM(B26:J26)</f>
        <v/>
      </c>
    </row>
    <row r="27" ht="15" customHeight="1" s="20">
      <c r="A27" s="4" t="inlineStr">
        <is>
          <t>Las Vegas, NV</t>
        </is>
      </c>
      <c r="B27" s="7" t="n">
        <v>10</v>
      </c>
      <c r="C27" s="7" t="n">
        <v>5</v>
      </c>
      <c r="D27" s="7" t="n">
        <v>7</v>
      </c>
      <c r="E27" s="7" t="n">
        <v>10</v>
      </c>
      <c r="F27" s="7" t="n">
        <v>3</v>
      </c>
      <c r="G27" s="7" t="n">
        <v>7</v>
      </c>
      <c r="H27" s="7" t="n">
        <v>7</v>
      </c>
      <c r="I27" s="7" t="n">
        <v>5</v>
      </c>
      <c r="J27" s="7" t="n">
        <v>8</v>
      </c>
      <c r="K27" s="7">
        <f t="array" ref="K27">SUM(B27:J27)</f>
        <v/>
      </c>
    </row>
    <row r="28" ht="15" customHeight="1" s="20">
      <c r="A28" s="4" t="inlineStr">
        <is>
          <t>Spokane, WA</t>
        </is>
      </c>
      <c r="B28" s="7" t="n">
        <v>7</v>
      </c>
      <c r="C28" s="7" t="n">
        <v>8</v>
      </c>
      <c r="D28" s="7" t="n">
        <v>8</v>
      </c>
      <c r="E28" s="7" t="n">
        <v>9</v>
      </c>
      <c r="F28" s="7" t="n">
        <v>6</v>
      </c>
      <c r="G28" s="7" t="n">
        <v>7</v>
      </c>
      <c r="H28" s="7" t="n">
        <v>6</v>
      </c>
      <c r="I28" s="7" t="n">
        <v>3</v>
      </c>
      <c r="J28" s="7" t="n">
        <v>7</v>
      </c>
      <c r="K28" s="7">
        <f t="array" ref="K28">SUM(B28:J28)</f>
        <v/>
      </c>
    </row>
    <row r="29" ht="15" customHeight="1" s="20">
      <c r="A29" s="4" t="inlineStr">
        <is>
          <t>Fort Collins, CO</t>
        </is>
      </c>
      <c r="B29" s="7" t="n">
        <v>6</v>
      </c>
      <c r="C29" s="7" t="n">
        <v>5</v>
      </c>
      <c r="D29" s="7" t="n">
        <v>7</v>
      </c>
      <c r="E29" s="7" t="n">
        <v>5</v>
      </c>
      <c r="F29" s="7" t="n">
        <v>5</v>
      </c>
      <c r="G29" s="7" t="n">
        <v>9</v>
      </c>
      <c r="H29" s="7" t="n">
        <v>8</v>
      </c>
      <c r="I29" s="7" t="n">
        <v>8</v>
      </c>
      <c r="J29" s="7" t="n">
        <v>8</v>
      </c>
      <c r="K29" s="7">
        <f t="array" ref="K29">SUM(B29:J29)</f>
        <v/>
      </c>
    </row>
    <row r="30" ht="15" customHeight="1" s="20">
      <c r="A30" s="4" t="inlineStr">
        <is>
          <t>Raleigh, NC</t>
        </is>
      </c>
      <c r="B30" s="7" t="n">
        <v>9</v>
      </c>
      <c r="C30" s="7" t="n">
        <v>6</v>
      </c>
      <c r="D30" s="7" t="n">
        <v>10</v>
      </c>
      <c r="E30" s="7" t="n">
        <v>7</v>
      </c>
      <c r="F30" s="7" t="n">
        <v>4</v>
      </c>
      <c r="G30" s="7" t="n">
        <v>6</v>
      </c>
      <c r="H30" s="7" t="n">
        <v>6</v>
      </c>
      <c r="I30" s="7" t="n">
        <v>6</v>
      </c>
      <c r="J30" s="7" t="n">
        <v>7</v>
      </c>
      <c r="K30" s="7">
        <f t="array" ref="K30">SUM(B30:J30)</f>
        <v/>
      </c>
    </row>
    <row r="31" ht="15" customHeight="1" s="20">
      <c r="A31" s="4" t="inlineStr">
        <is>
          <t>Fort Worth, TX</t>
        </is>
      </c>
      <c r="B31" s="7" t="n">
        <v>10</v>
      </c>
      <c r="C31" s="7" t="n">
        <v>7</v>
      </c>
      <c r="D31" s="7" t="n">
        <v>8</v>
      </c>
      <c r="E31" s="7" t="n">
        <v>8</v>
      </c>
      <c r="F31" s="7" t="n">
        <v>5</v>
      </c>
      <c r="G31" s="7" t="n">
        <v>4</v>
      </c>
      <c r="H31" s="7" t="n">
        <v>6</v>
      </c>
      <c r="I31" s="7" t="n">
        <v>6</v>
      </c>
      <c r="J31" s="7" t="n">
        <v>7</v>
      </c>
      <c r="K31" s="7">
        <f t="array" ref="K31">SUM(B31:J31)</f>
        <v/>
      </c>
    </row>
    <row r="32" ht="15" customHeight="1" s="20">
      <c r="A32" s="4" t="inlineStr">
        <is>
          <t>Pittsburgh, PA</t>
        </is>
      </c>
      <c r="B32" s="7" t="n">
        <v>6</v>
      </c>
      <c r="C32" s="7" t="n">
        <v>5</v>
      </c>
      <c r="D32" s="7" t="n">
        <v>10</v>
      </c>
      <c r="E32" s="7" t="n">
        <v>7</v>
      </c>
      <c r="F32" s="7" t="n">
        <v>6</v>
      </c>
      <c r="G32" s="7" t="n">
        <v>6</v>
      </c>
      <c r="H32" s="7" t="n">
        <v>6</v>
      </c>
      <c r="I32" s="7" t="n">
        <v>7</v>
      </c>
      <c r="J32" s="7" t="n">
        <v>8</v>
      </c>
      <c r="K32" s="7">
        <f t="array" ref="K32">SUM(B32:J32)</f>
        <v/>
      </c>
    </row>
    <row r="33" ht="15" customHeight="1" s="20">
      <c r="A33" s="4" t="inlineStr">
        <is>
          <t>Columbus, OH</t>
        </is>
      </c>
      <c r="B33" s="7" t="n">
        <v>8</v>
      </c>
      <c r="C33" s="7" t="n">
        <v>7</v>
      </c>
      <c r="D33" s="7" t="n">
        <v>9</v>
      </c>
      <c r="E33" s="7" t="n">
        <v>6</v>
      </c>
      <c r="F33" s="7" t="n">
        <v>5</v>
      </c>
      <c r="G33" s="7" t="n">
        <v>5</v>
      </c>
      <c r="H33" s="7" t="n">
        <v>7</v>
      </c>
      <c r="I33" s="7" t="n">
        <v>6</v>
      </c>
      <c r="J33" s="7" t="n">
        <v>8</v>
      </c>
      <c r="K33" s="7">
        <f t="array" ref="K33">SUM(B33:J33)</f>
        <v/>
      </c>
    </row>
    <row r="34" ht="15" customHeight="1" s="20">
      <c r="A34" s="4" t="inlineStr">
        <is>
          <t>Lexington, KY</t>
        </is>
      </c>
      <c r="B34" s="7" t="n">
        <v>6</v>
      </c>
      <c r="C34" s="7" t="n">
        <v>8</v>
      </c>
      <c r="D34" s="7" t="n">
        <v>9</v>
      </c>
      <c r="E34" s="7" t="n">
        <v>6</v>
      </c>
      <c r="F34" s="7" t="n">
        <v>6</v>
      </c>
      <c r="G34" s="7" t="n">
        <v>6</v>
      </c>
      <c r="H34" s="7" t="n">
        <v>6</v>
      </c>
      <c r="I34" s="7" t="n">
        <v>6</v>
      </c>
      <c r="J34" s="7" t="n">
        <v>7</v>
      </c>
      <c r="K34" s="7">
        <f t="array" ref="K34">SUM(B34:J34)</f>
        <v/>
      </c>
    </row>
    <row r="35" ht="15" customHeight="1" s="20">
      <c r="A35" s="4" t="inlineStr">
        <is>
          <t>Alexandria, VA</t>
        </is>
      </c>
      <c r="B35" s="7" t="n">
        <v>9</v>
      </c>
      <c r="C35" s="7" t="n">
        <v>3</v>
      </c>
      <c r="D35" s="7" t="n">
        <v>9</v>
      </c>
      <c r="E35" s="7" t="n">
        <v>6</v>
      </c>
      <c r="F35" s="7" t="n">
        <v>9</v>
      </c>
      <c r="G35" s="7" t="n">
        <v>5</v>
      </c>
      <c r="H35" s="7" t="n">
        <v>6</v>
      </c>
      <c r="I35" s="7" t="n">
        <v>5</v>
      </c>
      <c r="J35" s="7" t="n">
        <v>8</v>
      </c>
      <c r="K35" s="7">
        <f t="array" ref="K35">SUM(B35:J35)</f>
        <v/>
      </c>
    </row>
    <row r="36" ht="15" customHeight="1" s="20">
      <c r="A36" s="4" t="inlineStr">
        <is>
          <t>Pensacola, FL</t>
        </is>
      </c>
      <c r="B36" s="7" t="n">
        <v>7</v>
      </c>
      <c r="C36" s="7" t="n">
        <v>7</v>
      </c>
      <c r="D36" s="7" t="n">
        <v>7</v>
      </c>
      <c r="E36" s="7" t="n">
        <v>9</v>
      </c>
      <c r="F36" s="7" t="n">
        <v>4</v>
      </c>
      <c r="G36" s="7" t="n">
        <v>7</v>
      </c>
      <c r="H36" s="7" t="n">
        <v>6</v>
      </c>
      <c r="I36" s="7" t="n">
        <v>6</v>
      </c>
      <c r="J36" s="7" t="n">
        <v>7</v>
      </c>
      <c r="K36" s="7">
        <f t="array" ref="K36">SUM(B36:J36)</f>
        <v/>
      </c>
    </row>
    <row r="37" ht="15" customHeight="1" s="20">
      <c r="A37" s="4" t="inlineStr">
        <is>
          <t>Des Moines, IA</t>
        </is>
      </c>
      <c r="B37" s="7" t="n">
        <v>7</v>
      </c>
      <c r="C37" s="7" t="n">
        <v>8</v>
      </c>
      <c r="D37" s="7" t="n">
        <v>8</v>
      </c>
      <c r="E37" s="7" t="n">
        <v>6</v>
      </c>
      <c r="F37" s="7" t="n">
        <v>5</v>
      </c>
      <c r="G37" s="7" t="n">
        <v>5</v>
      </c>
      <c r="H37" s="7" t="n">
        <v>7</v>
      </c>
      <c r="I37" s="7" t="n">
        <v>7</v>
      </c>
      <c r="J37" s="7" t="n">
        <v>7</v>
      </c>
      <c r="K37" s="7">
        <f t="array" ref="K37">SUM(B37:J37)</f>
        <v/>
      </c>
    </row>
    <row r="38" ht="15" customHeight="1" s="20">
      <c r="A38" s="4" t="inlineStr">
        <is>
          <t>Casper, WY</t>
        </is>
      </c>
      <c r="B38" s="7" t="n">
        <v>4</v>
      </c>
      <c r="C38" s="7" t="n">
        <v>9</v>
      </c>
      <c r="D38" s="7" t="n">
        <v>6</v>
      </c>
      <c r="E38" s="7" t="n">
        <v>10</v>
      </c>
      <c r="F38" s="7" t="n">
        <v>3</v>
      </c>
      <c r="G38" s="7" t="n">
        <v>8</v>
      </c>
      <c r="H38" s="7" t="n">
        <v>6</v>
      </c>
      <c r="I38" s="7" t="n">
        <v>8</v>
      </c>
      <c r="J38" s="7" t="n">
        <v>6</v>
      </c>
      <c r="K38" s="7">
        <f t="array" ref="K38">SUM(B38:J38)</f>
        <v/>
      </c>
    </row>
    <row r="39" ht="15" customHeight="1" s="20">
      <c r="A39" s="4" t="inlineStr">
        <is>
          <t>Roanoke, VA</t>
        </is>
      </c>
      <c r="B39" s="7" t="n">
        <v>5</v>
      </c>
      <c r="C39" s="7" t="n">
        <v>8</v>
      </c>
      <c r="D39" s="7" t="n">
        <v>7</v>
      </c>
      <c r="E39" s="7" t="n">
        <v>5</v>
      </c>
      <c r="F39" s="7" t="n">
        <v>6</v>
      </c>
      <c r="G39" s="7" t="n">
        <v>8</v>
      </c>
      <c r="H39" s="7" t="n">
        <v>7</v>
      </c>
      <c r="I39" s="7" t="n">
        <v>7</v>
      </c>
      <c r="J39" s="7" t="n">
        <v>7</v>
      </c>
      <c r="K39" s="7">
        <f t="array" ref="K39">SUM(B39:J39)</f>
        <v/>
      </c>
    </row>
    <row r="40" ht="15" customHeight="1" s="20">
      <c r="A40" s="4" t="inlineStr">
        <is>
          <t>Greenville, SC</t>
        </is>
      </c>
      <c r="B40" s="7" t="n">
        <v>6</v>
      </c>
      <c r="C40" s="7" t="n">
        <v>8</v>
      </c>
      <c r="D40" s="7" t="n">
        <v>8</v>
      </c>
      <c r="E40" s="7" t="n">
        <v>6</v>
      </c>
      <c r="F40" s="7" t="n">
        <v>7</v>
      </c>
      <c r="G40" s="7" t="n">
        <v>7</v>
      </c>
      <c r="H40" s="7" t="n">
        <v>6</v>
      </c>
      <c r="I40" s="7" t="n">
        <v>4</v>
      </c>
      <c r="J40" s="7" t="n">
        <v>7</v>
      </c>
      <c r="K40" s="7">
        <f t="array" ref="K40">SUM(B40:J40)</f>
        <v/>
      </c>
    </row>
    <row r="41" ht="15" customHeight="1" s="20">
      <c r="A41" s="4" t="inlineStr">
        <is>
          <t>St. George, UT</t>
        </is>
      </c>
      <c r="B41" s="7" t="n">
        <v>5</v>
      </c>
      <c r="C41" s="7" t="n">
        <v>4</v>
      </c>
      <c r="D41" s="7" t="n">
        <v>10</v>
      </c>
      <c r="E41" s="7" t="n">
        <v>5</v>
      </c>
      <c r="F41" s="7" t="n">
        <v>3</v>
      </c>
      <c r="G41" s="7" t="n">
        <v>10</v>
      </c>
      <c r="H41" s="7" t="n">
        <v>9</v>
      </c>
      <c r="I41" s="7" t="n">
        <v>7</v>
      </c>
      <c r="J41" s="7" t="n">
        <v>6</v>
      </c>
      <c r="K41" s="7">
        <f t="array" ref="K41">SUM(B41:J41)</f>
        <v/>
      </c>
    </row>
    <row r="42" ht="15" customHeight="1" s="20">
      <c r="A42" s="4" t="inlineStr">
        <is>
          <t>Virginia Beach, VA</t>
        </is>
      </c>
      <c r="B42" s="7" t="n">
        <v>7</v>
      </c>
      <c r="C42" s="7" t="n">
        <v>6</v>
      </c>
      <c r="D42" s="7" t="n">
        <v>8</v>
      </c>
      <c r="E42" s="7" t="n">
        <v>7</v>
      </c>
      <c r="F42" s="7" t="n">
        <v>4</v>
      </c>
      <c r="G42" s="7" t="n">
        <v>7</v>
      </c>
      <c r="H42" s="7" t="n">
        <v>7</v>
      </c>
      <c r="I42" s="7" t="n">
        <v>6</v>
      </c>
      <c r="J42" s="7" t="n">
        <v>7</v>
      </c>
      <c r="K42" s="7">
        <f t="array" ref="K42">SUM(B42:J42)</f>
        <v/>
      </c>
    </row>
    <row r="43" ht="15" customHeight="1" s="20">
      <c r="A43" s="4" t="inlineStr">
        <is>
          <t>Portland, ME</t>
        </is>
      </c>
      <c r="B43" s="7" t="n">
        <v>8</v>
      </c>
      <c r="C43" s="7" t="n">
        <v>3</v>
      </c>
      <c r="D43" s="7" t="n">
        <v>9</v>
      </c>
      <c r="E43" s="7" t="n">
        <v>4</v>
      </c>
      <c r="F43" s="7" t="n">
        <v>9</v>
      </c>
      <c r="G43" s="7" t="n">
        <v>7</v>
      </c>
      <c r="H43" s="7" t="n">
        <v>6</v>
      </c>
      <c r="I43" s="7" t="n">
        <v>4</v>
      </c>
      <c r="J43" s="7" t="n">
        <v>9</v>
      </c>
      <c r="K43" s="7">
        <f t="array" ref="K43">SUM(B43:J43)</f>
        <v/>
      </c>
    </row>
    <row r="44" ht="15" customHeight="1" s="20">
      <c r="A44" s="4" t="inlineStr">
        <is>
          <t>Wilmington, DE</t>
        </is>
      </c>
      <c r="B44" s="7" t="n">
        <v>7</v>
      </c>
      <c r="C44" s="7" t="n">
        <v>5</v>
      </c>
      <c r="D44" s="7" t="n">
        <v>8</v>
      </c>
      <c r="E44" s="7" t="n">
        <v>8</v>
      </c>
      <c r="F44" s="7" t="n">
        <v>6</v>
      </c>
      <c r="G44" s="7" t="n">
        <v>6</v>
      </c>
      <c r="H44" s="7" t="n">
        <v>5</v>
      </c>
      <c r="I44" s="7" t="n">
        <v>7</v>
      </c>
      <c r="J44" s="7" t="n">
        <v>7</v>
      </c>
      <c r="K44" s="7">
        <f t="array" ref="K44">SUM(B44:J44)</f>
        <v/>
      </c>
    </row>
    <row r="45" ht="15" customHeight="1" s="20">
      <c r="A45" s="4" t="inlineStr">
        <is>
          <t>Beaufort, NC</t>
        </is>
      </c>
      <c r="B45" s="7" t="n">
        <v>4</v>
      </c>
      <c r="C45" s="7" t="n">
        <v>7</v>
      </c>
      <c r="D45" s="7" t="n">
        <v>5</v>
      </c>
      <c r="E45" s="7" t="n">
        <v>7</v>
      </c>
      <c r="F45" s="7" t="n">
        <v>5</v>
      </c>
      <c r="G45" s="7" t="n">
        <v>8</v>
      </c>
      <c r="H45" s="7" t="n">
        <v>7</v>
      </c>
      <c r="I45" s="7" t="n">
        <v>8</v>
      </c>
      <c r="J45" s="7" t="n">
        <v>8</v>
      </c>
      <c r="K45" s="7">
        <f t="array" ref="K45">SUM(B45:J45)</f>
        <v/>
      </c>
    </row>
    <row r="46" ht="15" customHeight="1" s="20">
      <c r="A46" s="4" t="inlineStr">
        <is>
          <t>Park City, UT</t>
        </is>
      </c>
      <c r="B46" s="7" t="n">
        <v>8</v>
      </c>
      <c r="C46" s="7" t="n">
        <v>1</v>
      </c>
      <c r="D46" s="7" t="n">
        <v>7</v>
      </c>
      <c r="E46" s="7" t="n">
        <v>4</v>
      </c>
      <c r="F46" s="7" t="n">
        <v>6</v>
      </c>
      <c r="G46" s="7" t="n">
        <v>10</v>
      </c>
      <c r="H46" s="7" t="n">
        <v>9</v>
      </c>
      <c r="I46" s="7" t="n">
        <v>7</v>
      </c>
      <c r="J46" s="7" t="n">
        <v>7</v>
      </c>
      <c r="K46" s="7">
        <f t="array" ref="K46">SUM(B47:J47)</f>
        <v/>
      </c>
    </row>
    <row r="47" ht="15" customHeight="1" s="20">
      <c r="A47" s="4" t="inlineStr">
        <is>
          <t>Vail, CO</t>
        </is>
      </c>
      <c r="B47" s="7" t="n">
        <v>6</v>
      </c>
      <c r="C47" s="7" t="n">
        <v>1</v>
      </c>
      <c r="D47" s="7" t="n">
        <v>6</v>
      </c>
      <c r="E47" s="7" t="n">
        <v>5</v>
      </c>
      <c r="F47" s="7" t="n">
        <v>7</v>
      </c>
      <c r="G47" s="7" t="n">
        <v>10</v>
      </c>
      <c r="H47" s="7" t="n">
        <v>8</v>
      </c>
      <c r="I47" s="7" t="n">
        <v>9</v>
      </c>
      <c r="J47" s="7" t="n">
        <v>7</v>
      </c>
      <c r="K47" s="7">
        <f t="array" ref="K47">SUM(B48:J48)</f>
        <v/>
      </c>
    </row>
    <row r="48" ht="15" customHeight="1" s="20">
      <c r="A48" s="4" t="inlineStr">
        <is>
          <t>Memphis, TN</t>
        </is>
      </c>
      <c r="B48" s="7" t="n">
        <v>8</v>
      </c>
      <c r="C48" s="7" t="n">
        <v>7</v>
      </c>
      <c r="D48" s="7" t="n">
        <v>9</v>
      </c>
      <c r="E48" s="7" t="n">
        <v>9</v>
      </c>
      <c r="F48" s="7" t="n">
        <v>5</v>
      </c>
      <c r="G48" s="7" t="n">
        <v>3</v>
      </c>
      <c r="H48" s="7" t="n">
        <v>4</v>
      </c>
      <c r="I48" s="7" t="n">
        <v>7</v>
      </c>
      <c r="J48" s="7" t="n">
        <v>7</v>
      </c>
      <c r="K48" s="7">
        <f t="array" ref="K48">SUM(B49:J49)</f>
        <v/>
      </c>
    </row>
    <row r="49" ht="15" customHeight="1" s="20">
      <c r="A49" s="4" t="inlineStr">
        <is>
          <t>Asheville, NC</t>
        </is>
      </c>
      <c r="B49" s="7" t="n">
        <v>5</v>
      </c>
      <c r="C49" s="7" t="n">
        <v>5</v>
      </c>
      <c r="D49" s="7" t="n">
        <v>5</v>
      </c>
      <c r="E49" s="7" t="n">
        <v>6</v>
      </c>
      <c r="F49" s="7" t="n">
        <v>7</v>
      </c>
      <c r="G49" s="7" t="n">
        <v>10</v>
      </c>
      <c r="H49" s="7" t="n">
        <v>6</v>
      </c>
      <c r="I49" s="7" t="n">
        <v>5</v>
      </c>
      <c r="J49" s="7" t="n">
        <v>9</v>
      </c>
      <c r="K49" s="7">
        <f t="array" ref="K49">SUM(B50:J50)</f>
        <v/>
      </c>
    </row>
    <row r="50" ht="15" customHeight="1" s="20">
      <c r="A50" s="4" t="inlineStr">
        <is>
          <t>Colorado Springs, CO</t>
        </is>
      </c>
      <c r="B50" s="7" t="n">
        <v>6</v>
      </c>
      <c r="C50" s="7" t="n">
        <v>5</v>
      </c>
      <c r="D50" s="7" t="n">
        <v>8</v>
      </c>
      <c r="E50" s="7" t="n">
        <v>7</v>
      </c>
      <c r="F50" s="7" t="n">
        <v>4</v>
      </c>
      <c r="G50" s="7" t="n">
        <v>9</v>
      </c>
      <c r="H50" s="7" t="n">
        <v>7</v>
      </c>
      <c r="I50" s="7" t="n">
        <v>4</v>
      </c>
      <c r="J50" s="7" t="n">
        <v>8</v>
      </c>
      <c r="K50" s="7">
        <f t="array" ref="K50">SUM(B51:J51)</f>
        <v/>
      </c>
    </row>
    <row r="51" ht="15" customHeight="1" s="20">
      <c r="A51" s="4" t="inlineStr">
        <is>
          <t>Madison, WI</t>
        </is>
      </c>
      <c r="B51" s="7" t="n">
        <v>6</v>
      </c>
      <c r="C51" s="7" t="n">
        <v>6</v>
      </c>
      <c r="D51" s="7" t="n">
        <v>8</v>
      </c>
      <c r="E51" s="7" t="n">
        <v>5</v>
      </c>
      <c r="F51" s="7" t="n">
        <v>5</v>
      </c>
      <c r="G51" s="7" t="n">
        <v>7</v>
      </c>
      <c r="H51" s="7" t="n">
        <v>7</v>
      </c>
      <c r="I51" s="7" t="n">
        <v>6</v>
      </c>
      <c r="J51" s="7" t="n">
        <v>8</v>
      </c>
      <c r="K51" s="7">
        <f t="array" ref="K51">SUM(B52:J52)</f>
        <v/>
      </c>
    </row>
    <row r="52" ht="15" customHeight="1" s="20">
      <c r="A52" s="4" t="inlineStr">
        <is>
          <t>Boise, ID</t>
        </is>
      </c>
      <c r="B52" s="7" t="n">
        <v>7</v>
      </c>
      <c r="C52" s="7" t="n">
        <v>4</v>
      </c>
      <c r="D52" s="7" t="n">
        <v>7</v>
      </c>
      <c r="E52" s="7" t="n">
        <v>6</v>
      </c>
      <c r="F52" s="7" t="n">
        <v>4</v>
      </c>
      <c r="G52" s="7" t="n">
        <v>8</v>
      </c>
      <c r="H52" s="7" t="n">
        <v>7</v>
      </c>
      <c r="I52" s="7" t="n">
        <v>8</v>
      </c>
      <c r="J52" s="7" t="n">
        <v>7</v>
      </c>
      <c r="K52" s="7">
        <f t="array" ref="K52">SUM(B53:J53)</f>
        <v/>
      </c>
    </row>
    <row r="53" ht="15" customHeight="1" s="20">
      <c r="A53" s="4" t="inlineStr">
        <is>
          <t>Rehoboth Beach, DE</t>
        </is>
      </c>
      <c r="B53" s="7" t="n">
        <v>5</v>
      </c>
      <c r="C53" s="7" t="n">
        <v>2</v>
      </c>
      <c r="D53" s="7" t="n">
        <v>6</v>
      </c>
      <c r="E53" s="7" t="n">
        <v>9</v>
      </c>
      <c r="F53" s="7" t="n">
        <v>7</v>
      </c>
      <c r="G53" s="7" t="n">
        <v>8</v>
      </c>
      <c r="H53" s="7" t="n">
        <v>6</v>
      </c>
      <c r="I53" s="7" t="n">
        <v>7</v>
      </c>
      <c r="J53" s="7" t="n">
        <v>8</v>
      </c>
      <c r="K53" s="7">
        <f t="array" ref="K53">SUM(B54:J54)</f>
        <v/>
      </c>
    </row>
    <row r="54" ht="15" customHeight="1" s="20">
      <c r="A54" s="4" t="inlineStr">
        <is>
          <t>Charlottesville, VA</t>
        </is>
      </c>
      <c r="B54" s="7" t="n">
        <v>4</v>
      </c>
      <c r="C54" s="7" t="n">
        <v>4</v>
      </c>
      <c r="D54" s="7" t="n">
        <v>9</v>
      </c>
      <c r="E54" s="7" t="n">
        <v>6</v>
      </c>
      <c r="F54" s="7" t="n">
        <v>7</v>
      </c>
      <c r="G54" s="7" t="n">
        <v>8</v>
      </c>
      <c r="H54" s="7" t="n">
        <v>5</v>
      </c>
      <c r="I54" s="7" t="n">
        <v>7</v>
      </c>
      <c r="J54" s="7" t="n">
        <v>8</v>
      </c>
      <c r="K54" s="7">
        <f t="array" ref="K54">SUM(B55:J55)</f>
        <v/>
      </c>
    </row>
    <row r="55" ht="15" customHeight="1" s="20">
      <c r="A55" s="4" t="inlineStr">
        <is>
          <t>Coeur d’Alène, ID</t>
        </is>
      </c>
      <c r="B55" s="7" t="n">
        <v>6</v>
      </c>
      <c r="C55" s="7" t="n">
        <v>5</v>
      </c>
      <c r="D55" s="7" t="n">
        <v>6</v>
      </c>
      <c r="E55" s="7" t="n">
        <v>7</v>
      </c>
      <c r="F55" s="7" t="n">
        <v>5</v>
      </c>
      <c r="G55" s="7" t="n">
        <v>8</v>
      </c>
      <c r="H55" s="7" t="n">
        <v>7</v>
      </c>
      <c r="I55" s="7" t="n">
        <v>7</v>
      </c>
      <c r="J55" s="7" t="n">
        <v>7</v>
      </c>
      <c r="K55" s="7">
        <f t="array" ref="K55">SUM(B56:J56)</f>
        <v/>
      </c>
    </row>
    <row r="56" ht="15" customHeight="1" s="20">
      <c r="A56" s="4" t="inlineStr">
        <is>
          <t>Nashua, NH</t>
        </is>
      </c>
      <c r="B56" s="7" t="n">
        <v>8</v>
      </c>
      <c r="C56" s="7" t="n">
        <v>4</v>
      </c>
      <c r="D56" s="7" t="n">
        <v>8</v>
      </c>
      <c r="E56" s="7" t="n">
        <v>9</v>
      </c>
      <c r="F56" s="7" t="n">
        <v>6</v>
      </c>
      <c r="G56" s="7" t="n">
        <v>5</v>
      </c>
      <c r="H56" s="7" t="n">
        <v>5</v>
      </c>
      <c r="I56" s="7" t="n">
        <v>6</v>
      </c>
      <c r="J56" s="7" t="n">
        <v>6</v>
      </c>
      <c r="K56" s="7">
        <f t="array" ref="K56">SUM(B57:J57)</f>
        <v/>
      </c>
    </row>
    <row r="57" ht="15" customHeight="1" s="20">
      <c r="A57" s="4" t="inlineStr">
        <is>
          <t>Annapolis, MD</t>
        </is>
      </c>
      <c r="B57" s="7" t="n">
        <v>8</v>
      </c>
      <c r="C57" s="7" t="n">
        <v>3</v>
      </c>
      <c r="D57" s="7" t="n">
        <v>7</v>
      </c>
      <c r="E57" s="7" t="n">
        <v>4</v>
      </c>
      <c r="F57" s="7" t="n">
        <v>8</v>
      </c>
      <c r="G57" s="7" t="n">
        <v>7</v>
      </c>
      <c r="H57" s="7" t="n">
        <v>6</v>
      </c>
      <c r="I57" s="7" t="n">
        <v>6</v>
      </c>
      <c r="J57" s="7" t="n">
        <v>8</v>
      </c>
      <c r="K57" s="7">
        <f t="array" ref="K57">SUM(B58:J58)</f>
        <v/>
      </c>
    </row>
    <row r="58" ht="15" customHeight="1" s="20">
      <c r="A58" s="4" t="inlineStr">
        <is>
          <t>Santa Barbara, CA</t>
        </is>
      </c>
      <c r="B58" s="7" t="n">
        <v>7</v>
      </c>
      <c r="C58" s="7" t="n">
        <v>1</v>
      </c>
      <c r="D58" s="7" t="n">
        <v>7</v>
      </c>
      <c r="E58" s="7" t="n">
        <v>2</v>
      </c>
      <c r="F58" s="7" t="n">
        <v>8</v>
      </c>
      <c r="G58" s="7" t="n">
        <v>9</v>
      </c>
      <c r="H58" s="7" t="n">
        <v>7</v>
      </c>
      <c r="I58" s="7" t="n">
        <v>7</v>
      </c>
      <c r="J58" s="7" t="n">
        <v>9</v>
      </c>
      <c r="K58" s="7">
        <f t="array" ref="K58">SUM(B59:J59)</f>
        <v/>
      </c>
    </row>
    <row r="59" ht="15" customHeight="1" s="20">
      <c r="A59" s="4" t="inlineStr">
        <is>
          <t>Whitefish, MT</t>
        </is>
      </c>
      <c r="B59" s="7" t="n">
        <v>6</v>
      </c>
      <c r="C59" s="7" t="n">
        <v>4</v>
      </c>
      <c r="D59" s="7" t="n">
        <v>5</v>
      </c>
      <c r="E59" s="7" t="n">
        <v>8</v>
      </c>
      <c r="F59" s="7" t="n">
        <v>6</v>
      </c>
      <c r="G59" s="7" t="n">
        <v>9</v>
      </c>
      <c r="H59" s="7" t="n">
        <v>5</v>
      </c>
      <c r="I59" s="7" t="n">
        <v>8</v>
      </c>
      <c r="J59" s="7" t="n">
        <v>6</v>
      </c>
      <c r="K59" s="7">
        <f t="array" ref="K59">SUM(B60:J60)</f>
        <v/>
      </c>
    </row>
    <row r="60" ht="15" customHeight="1" s="20">
      <c r="A60" s="4" t="inlineStr">
        <is>
          <t>Bloomington, IN</t>
        </is>
      </c>
      <c r="B60" s="7" t="n">
        <v>5</v>
      </c>
      <c r="C60" s="7" t="n">
        <v>7</v>
      </c>
      <c r="D60" s="7" t="n">
        <v>7</v>
      </c>
      <c r="E60" s="7" t="n">
        <v>6</v>
      </c>
      <c r="F60" s="7" t="n">
        <v>6</v>
      </c>
      <c r="G60" s="7" t="n">
        <v>6</v>
      </c>
      <c r="H60" s="7" t="n">
        <v>6</v>
      </c>
      <c r="I60" s="7" t="n">
        <v>6</v>
      </c>
      <c r="J60" s="7" t="n">
        <v>8</v>
      </c>
      <c r="K60" s="7">
        <f t="array" ref="K60">SUM(B61:J61)</f>
        <v/>
      </c>
    </row>
    <row r="61" ht="15" customHeight="1" s="20">
      <c r="A61" s="4" t="inlineStr">
        <is>
          <t>Bozeman, MT</t>
        </is>
      </c>
      <c r="B61" s="7" t="n">
        <v>7</v>
      </c>
      <c r="C61" s="7" t="n">
        <v>3</v>
      </c>
      <c r="D61" s="7" t="n">
        <v>6</v>
      </c>
      <c r="E61" s="7" t="n">
        <v>5</v>
      </c>
      <c r="F61" s="7" t="n">
        <v>5</v>
      </c>
      <c r="G61" s="7" t="n">
        <v>9</v>
      </c>
      <c r="H61" s="7" t="n">
        <v>7</v>
      </c>
      <c r="I61" s="7" t="n">
        <v>7</v>
      </c>
      <c r="J61" s="7" t="n">
        <v>7</v>
      </c>
      <c r="K61" s="7">
        <f t="array" ref="K61">SUM(B62:J62)</f>
        <v/>
      </c>
    </row>
    <row r="62" ht="15" customHeight="1" s="20">
      <c r="A62" s="4" t="inlineStr">
        <is>
          <t>Grand Junction, CO</t>
        </is>
      </c>
      <c r="B62" s="7" t="n">
        <v>6</v>
      </c>
      <c r="C62" s="7" t="n">
        <v>8</v>
      </c>
      <c r="D62" s="7" t="n">
        <v>6</v>
      </c>
      <c r="E62" s="7" t="n">
        <v>5</v>
      </c>
      <c r="F62" s="7" t="n">
        <v>5</v>
      </c>
      <c r="G62" s="7" t="n">
        <v>7</v>
      </c>
      <c r="H62" s="7" t="n">
        <v>6</v>
      </c>
      <c r="I62" s="7" t="n">
        <v>7</v>
      </c>
      <c r="J62" s="7" t="n">
        <v>6</v>
      </c>
      <c r="K62" s="7">
        <f t="array" ref="K62">SUM(B63:J63)</f>
        <v/>
      </c>
    </row>
    <row r="63" ht="15" customHeight="1" s="20">
      <c r="A63" s="4" t="inlineStr">
        <is>
          <t>Kansas City, MO</t>
        </is>
      </c>
      <c r="B63" s="7" t="n">
        <v>8</v>
      </c>
      <c r="C63" s="7" t="n">
        <v>8</v>
      </c>
      <c r="D63" s="7" t="n">
        <v>8</v>
      </c>
      <c r="E63" s="7" t="n">
        <v>6</v>
      </c>
      <c r="F63" s="7" t="n">
        <v>5</v>
      </c>
      <c r="G63" s="7" t="n">
        <v>4</v>
      </c>
      <c r="H63" s="7" t="n">
        <v>5</v>
      </c>
      <c r="I63" s="7" t="n">
        <v>5</v>
      </c>
      <c r="J63" s="7" t="n">
        <v>7</v>
      </c>
      <c r="K63" s="7">
        <f t="array" ref="K63">SUM(B64:J64)</f>
        <v/>
      </c>
    </row>
    <row r="64" ht="15" customHeight="1" s="20">
      <c r="A64" s="4" t="inlineStr">
        <is>
          <t>Sun Valley, ID</t>
        </is>
      </c>
      <c r="B64" s="7" t="n">
        <v>5</v>
      </c>
      <c r="C64" s="7" t="n">
        <v>2</v>
      </c>
      <c r="D64" s="7" t="n">
        <v>5</v>
      </c>
      <c r="E64" s="7" t="n">
        <v>7</v>
      </c>
      <c r="F64" s="7" t="n">
        <v>6</v>
      </c>
      <c r="G64" s="7" t="n">
        <v>10</v>
      </c>
      <c r="H64" s="7" t="n">
        <v>5</v>
      </c>
      <c r="I64" s="7" t="n">
        <v>9</v>
      </c>
      <c r="J64" s="7" t="n">
        <v>7</v>
      </c>
      <c r="K64" s="7">
        <f t="array" ref="K64">SUM(B65:J65)</f>
        <v/>
      </c>
    </row>
    <row r="65" ht="15" customHeight="1" s="20">
      <c r="A65" s="4" t="inlineStr">
        <is>
          <t>Savannah, GA</t>
        </is>
      </c>
      <c r="B65" s="7" t="n">
        <v>5</v>
      </c>
      <c r="C65" s="7" t="n">
        <v>7</v>
      </c>
      <c r="D65" s="7" t="n">
        <v>6</v>
      </c>
      <c r="E65" s="7" t="n">
        <v>7</v>
      </c>
      <c r="F65" s="7" t="n">
        <v>7</v>
      </c>
      <c r="G65" s="7" t="n">
        <v>6</v>
      </c>
      <c r="H65" s="7" t="n">
        <v>5</v>
      </c>
      <c r="I65" s="7" t="n">
        <v>4</v>
      </c>
      <c r="J65" s="7" t="n">
        <v>8</v>
      </c>
      <c r="K65" s="7">
        <f t="array" ref="K65">SUM(B66:J66)</f>
        <v/>
      </c>
    </row>
    <row r="66" ht="15" customHeight="1" s="20">
      <c r="A66" s="4" t="inlineStr">
        <is>
          <t>Santa Fe, NM</t>
        </is>
      </c>
      <c r="B66" s="7" t="n">
        <v>5</v>
      </c>
      <c r="C66" s="7" t="n">
        <v>6</v>
      </c>
      <c r="D66" s="7" t="n">
        <v>7</v>
      </c>
      <c r="E66" s="7" t="n">
        <v>5</v>
      </c>
      <c r="F66" s="7" t="n">
        <v>6</v>
      </c>
      <c r="G66" s="7" t="n">
        <v>7</v>
      </c>
      <c r="H66" s="7" t="n">
        <v>6</v>
      </c>
      <c r="I66" s="7" t="n">
        <v>3</v>
      </c>
      <c r="J66" s="7" t="n">
        <v>10</v>
      </c>
      <c r="K66" s="7">
        <f t="array" ref="K66">SUM(B67:J67)</f>
        <v/>
      </c>
    </row>
    <row r="67" ht="15" customHeight="1" s="20">
      <c r="A67" s="4" t="inlineStr">
        <is>
          <t>Johnson City, TN</t>
        </is>
      </c>
      <c r="B67" s="7" t="n">
        <v>5</v>
      </c>
      <c r="C67" s="7" t="n">
        <v>9</v>
      </c>
      <c r="D67" s="7" t="n">
        <v>3</v>
      </c>
      <c r="E67" s="7" t="n">
        <v>8</v>
      </c>
      <c r="F67" s="7" t="n">
        <v>4</v>
      </c>
      <c r="G67" s="7" t="n">
        <v>8</v>
      </c>
      <c r="H67" s="7" t="n">
        <v>6</v>
      </c>
      <c r="I67" s="7" t="n">
        <v>6</v>
      </c>
      <c r="J67" s="7" t="n">
        <v>6</v>
      </c>
      <c r="K67" s="7">
        <f t="array" ref="K67">SUM(B68:J68)</f>
        <v/>
      </c>
    </row>
    <row r="68" ht="15" customHeight="1" s="20">
      <c r="A68" s="4" t="inlineStr">
        <is>
          <t>Prescott, AZ</t>
        </is>
      </c>
      <c r="B68" s="7" t="n">
        <v>3</v>
      </c>
      <c r="C68" s="7" t="n">
        <v>4</v>
      </c>
      <c r="D68" s="7" t="n">
        <v>5</v>
      </c>
      <c r="E68" s="7" t="n">
        <v>8</v>
      </c>
      <c r="F68" s="7" t="n">
        <v>6</v>
      </c>
      <c r="G68" s="7" t="n">
        <v>8</v>
      </c>
      <c r="H68" s="7" t="n">
        <v>7</v>
      </c>
      <c r="I68" s="7" t="n">
        <v>7</v>
      </c>
      <c r="J68" s="7" t="n">
        <v>7</v>
      </c>
      <c r="K68" s="7">
        <f t="array" ref="K68">SUM(B69:J69)</f>
        <v/>
      </c>
    </row>
    <row r="69" ht="15" customHeight="1" s="20">
      <c r="A69" s="4" t="inlineStr">
        <is>
          <t>Indianapolis, IN</t>
        </is>
      </c>
      <c r="B69" s="7" t="n">
        <v>8</v>
      </c>
      <c r="C69" s="7" t="n">
        <v>6</v>
      </c>
      <c r="D69" s="7" t="n">
        <v>8</v>
      </c>
      <c r="E69" s="7" t="n">
        <v>6</v>
      </c>
      <c r="F69" s="7" t="n">
        <v>5</v>
      </c>
      <c r="G69" s="7" t="n">
        <v>3</v>
      </c>
      <c r="H69" s="7" t="n">
        <v>5</v>
      </c>
      <c r="I69" s="7" t="n">
        <v>7</v>
      </c>
      <c r="J69" s="7" t="n">
        <v>7</v>
      </c>
      <c r="K69" s="7">
        <f t="array" ref="K69">SUM(B70:J70)</f>
        <v/>
      </c>
    </row>
    <row r="70" ht="15" customHeight="1" s="20">
      <c r="A70" s="4" t="inlineStr">
        <is>
          <t>Hilton Head, SC</t>
        </is>
      </c>
      <c r="B70" s="7" t="n">
        <v>6</v>
      </c>
      <c r="C70" s="7" t="n">
        <v>4</v>
      </c>
      <c r="D70" s="7" t="n">
        <v>7</v>
      </c>
      <c r="E70" s="7" t="n">
        <v>7</v>
      </c>
      <c r="F70" s="7" t="n">
        <v>4</v>
      </c>
      <c r="G70" s="7" t="n">
        <v>6</v>
      </c>
      <c r="H70" s="7" t="n">
        <v>8</v>
      </c>
      <c r="I70" s="7" t="n">
        <v>5</v>
      </c>
      <c r="J70" s="7" t="n">
        <v>7</v>
      </c>
      <c r="K70" s="7">
        <f t="array" ref="K70">SUM(B71:J71)</f>
        <v/>
      </c>
    </row>
    <row r="71" ht="15" customHeight="1" s="20">
      <c r="A71" s="4" t="inlineStr">
        <is>
          <t>Fairhope, AL</t>
        </is>
      </c>
      <c r="B71" s="7" t="n">
        <v>4</v>
      </c>
      <c r="C71" s="7" t="n">
        <v>5</v>
      </c>
      <c r="D71" s="7" t="n">
        <v>6</v>
      </c>
      <c r="E71" s="7" t="n">
        <v>7</v>
      </c>
      <c r="F71" s="7" t="n">
        <v>7</v>
      </c>
      <c r="G71" s="7" t="n">
        <v>6</v>
      </c>
      <c r="H71" s="7" t="n">
        <v>5</v>
      </c>
      <c r="I71" s="7" t="n">
        <v>7</v>
      </c>
      <c r="J71" s="7" t="n">
        <v>7</v>
      </c>
      <c r="K71" s="7">
        <f t="array" ref="K71">SUM(B72:J72)</f>
        <v/>
      </c>
    </row>
    <row r="72" ht="15" customHeight="1" s="20">
      <c r="A72" s="4" t="inlineStr">
        <is>
          <t>Saratoga Springs, NY</t>
        </is>
      </c>
      <c r="B72" s="7" t="n">
        <v>6</v>
      </c>
      <c r="C72" s="7" t="n">
        <v>3</v>
      </c>
      <c r="D72" s="7" t="n">
        <v>6</v>
      </c>
      <c r="E72" s="7" t="n">
        <v>2</v>
      </c>
      <c r="F72" s="7" t="n">
        <v>8</v>
      </c>
      <c r="G72" s="7" t="n">
        <v>7</v>
      </c>
      <c r="H72" s="7" t="n">
        <v>6</v>
      </c>
      <c r="I72" s="7" t="n">
        <v>8</v>
      </c>
      <c r="J72" s="7" t="n">
        <v>8</v>
      </c>
      <c r="K72" s="7">
        <f t="array" ref="K72">SUM(B73:J73)</f>
        <v/>
      </c>
    </row>
    <row r="73" ht="15" customHeight="1" s="20">
      <c r="A73" s="4" t="inlineStr">
        <is>
          <t>Silver Spring, MD</t>
        </is>
      </c>
      <c r="B73" s="7" t="n">
        <v>8</v>
      </c>
      <c r="C73" s="7" t="n">
        <v>4</v>
      </c>
      <c r="D73" s="7" t="n">
        <v>8</v>
      </c>
      <c r="E73" s="7" t="n">
        <v>4</v>
      </c>
      <c r="F73" s="7" t="n">
        <v>7</v>
      </c>
      <c r="G73" s="7" t="n">
        <v>5</v>
      </c>
      <c r="H73" s="7" t="n">
        <v>6</v>
      </c>
      <c r="I73" s="7" t="n">
        <v>5</v>
      </c>
      <c r="J73" s="7" t="n">
        <v>7</v>
      </c>
      <c r="K73" s="7">
        <f t="array" ref="K73">SUM(B74:J74)</f>
        <v/>
      </c>
    </row>
    <row r="74" ht="15" customHeight="1" s="20">
      <c r="A74" s="4" t="inlineStr">
        <is>
          <t>Carmel-by-the-Sea, CA</t>
        </is>
      </c>
      <c r="B74" s="7" t="n">
        <v>6</v>
      </c>
      <c r="C74" s="7" t="n">
        <v>1</v>
      </c>
      <c r="D74" s="7" t="n">
        <v>6</v>
      </c>
      <c r="E74" s="7" t="n">
        <v>2</v>
      </c>
      <c r="F74" s="7" t="n">
        <v>8</v>
      </c>
      <c r="G74" s="7" t="n">
        <v>8</v>
      </c>
      <c r="H74" s="7" t="n">
        <v>6</v>
      </c>
      <c r="I74" s="7" t="n">
        <v>9</v>
      </c>
      <c r="J74" s="7" t="n">
        <v>8</v>
      </c>
      <c r="K74" s="7">
        <f t="array" ref="K74">SUM(B75:J75)</f>
        <v/>
      </c>
    </row>
    <row r="75" ht="15" customHeight="1" s="20">
      <c r="A75" s="4" t="inlineStr">
        <is>
          <t>Rio Rancho, NM</t>
        </is>
      </c>
      <c r="B75" s="7" t="n">
        <v>7</v>
      </c>
      <c r="C75" s="7" t="n">
        <v>7</v>
      </c>
      <c r="D75" s="7" t="n">
        <v>7</v>
      </c>
      <c r="E75" s="7" t="n">
        <v>6</v>
      </c>
      <c r="F75" s="7" t="n">
        <v>4</v>
      </c>
      <c r="G75" s="7" t="n">
        <v>5</v>
      </c>
      <c r="H75" s="7" t="n">
        <v>6</v>
      </c>
      <c r="I75" s="7" t="n">
        <v>7</v>
      </c>
      <c r="J75" s="7" t="n">
        <v>5</v>
      </c>
      <c r="K75" s="7">
        <f t="array" ref="K75">SUM(B76:J76)</f>
        <v/>
      </c>
    </row>
    <row r="76" ht="15" customHeight="1" s="20">
      <c r="A76" s="4" t="inlineStr">
        <is>
          <t>Durango, CO</t>
        </is>
      </c>
      <c r="B76" s="7" t="n">
        <v>3</v>
      </c>
      <c r="C76" s="7" t="n">
        <v>3</v>
      </c>
      <c r="D76" s="7" t="n">
        <v>5</v>
      </c>
      <c r="E76" s="7" t="n">
        <v>8</v>
      </c>
      <c r="F76" s="7" t="n">
        <v>4</v>
      </c>
      <c r="G76" s="7" t="n">
        <v>9</v>
      </c>
      <c r="H76" s="7" t="n">
        <v>7</v>
      </c>
      <c r="I76" s="7" t="n">
        <v>6</v>
      </c>
      <c r="J76" s="7" t="n">
        <v>8</v>
      </c>
      <c r="K76" s="7">
        <f t="array" ref="K76">SUM(B77:J77)</f>
        <v/>
      </c>
    </row>
    <row r="77" ht="15" customHeight="1" s="20">
      <c r="A77" s="4" t="inlineStr">
        <is>
          <t>Steamboat Springs, CO</t>
        </is>
      </c>
      <c r="B77" s="7" t="n">
        <v>5</v>
      </c>
      <c r="C77" s="7" t="n">
        <v>2</v>
      </c>
      <c r="D77" s="7" t="n">
        <v>5</v>
      </c>
      <c r="E77" s="7" t="n">
        <v>5</v>
      </c>
      <c r="F77" s="7" t="n">
        <v>5</v>
      </c>
      <c r="G77" s="7" t="n">
        <v>9</v>
      </c>
      <c r="H77" s="7" t="n">
        <v>6</v>
      </c>
      <c r="I77" s="7" t="n">
        <v>8</v>
      </c>
      <c r="J77" s="7" t="n">
        <v>7</v>
      </c>
      <c r="K77" s="7">
        <f t="array" ref="K77">SUM(B78:J78)</f>
        <v/>
      </c>
    </row>
    <row r="78" ht="15" customHeight="1" s="20">
      <c r="A78" s="4" t="inlineStr">
        <is>
          <t>Wilmington, NC</t>
        </is>
      </c>
      <c r="B78" s="7" t="n">
        <v>6</v>
      </c>
      <c r="C78" s="7" t="n">
        <v>6</v>
      </c>
      <c r="D78" s="7" t="n">
        <v>5</v>
      </c>
      <c r="E78" s="7" t="n">
        <v>7</v>
      </c>
      <c r="F78" s="7" t="n">
        <v>5</v>
      </c>
      <c r="G78" s="7" t="n">
        <v>7</v>
      </c>
      <c r="H78" s="7" t="n">
        <v>6</v>
      </c>
      <c r="I78" s="7" t="n">
        <v>3</v>
      </c>
      <c r="J78" s="7" t="n">
        <v>7</v>
      </c>
      <c r="K78" s="7">
        <f t="array" ref="K78">SUM(B79:J79)</f>
        <v/>
      </c>
    </row>
    <row r="79" ht="15" customHeight="1" s="20">
      <c r="A79" s="4" t="inlineStr">
        <is>
          <t>Eugene, OR</t>
        </is>
      </c>
      <c r="B79" s="7" t="n">
        <v>5</v>
      </c>
      <c r="C79" s="7" t="n">
        <v>4</v>
      </c>
      <c r="D79" s="7" t="n">
        <v>7</v>
      </c>
      <c r="E79" s="7" t="n">
        <v>3</v>
      </c>
      <c r="F79" s="7" t="n">
        <v>7</v>
      </c>
      <c r="G79" s="7" t="n">
        <v>8</v>
      </c>
      <c r="H79" s="7" t="n">
        <v>6</v>
      </c>
      <c r="I79" s="7" t="n">
        <v>5</v>
      </c>
      <c r="J79" s="7" t="n">
        <v>7</v>
      </c>
      <c r="K79" s="7">
        <f t="array" ref="K79">SUM(B80:J80)</f>
        <v/>
      </c>
    </row>
    <row r="80" ht="15" customHeight="1" s="20">
      <c r="A80" s="4" t="inlineStr">
        <is>
          <t>Paducah, KY</t>
        </is>
      </c>
      <c r="B80" s="7" t="n">
        <v>4</v>
      </c>
      <c r="C80" s="7" t="n">
        <v>9</v>
      </c>
      <c r="D80" s="7" t="n">
        <v>6</v>
      </c>
      <c r="E80" s="7" t="n">
        <v>7</v>
      </c>
      <c r="F80" s="7" t="n">
        <v>5</v>
      </c>
      <c r="G80" s="7" t="n">
        <v>4</v>
      </c>
      <c r="H80" s="7" t="n">
        <v>4</v>
      </c>
      <c r="I80" s="7" t="n">
        <v>6</v>
      </c>
      <c r="J80" s="7" t="n">
        <v>7</v>
      </c>
      <c r="K80" s="7">
        <f t="array" ref="K80">SUM(B81:J81)</f>
        <v/>
      </c>
    </row>
    <row r="81" ht="15" customHeight="1" s="20">
      <c r="A81" s="4" t="inlineStr">
        <is>
          <t>Hot Springs, AR</t>
        </is>
      </c>
      <c r="B81" s="7" t="n">
        <v>4</v>
      </c>
      <c r="C81" s="7" t="n">
        <v>9</v>
      </c>
      <c r="D81" s="7" t="n">
        <v>5</v>
      </c>
      <c r="E81" s="7" t="n">
        <v>7</v>
      </c>
      <c r="F81" s="7" t="n">
        <v>5</v>
      </c>
      <c r="G81" s="7" t="n">
        <v>6</v>
      </c>
      <c r="H81" s="7" t="n">
        <v>5</v>
      </c>
      <c r="I81" s="7" t="n">
        <v>5</v>
      </c>
      <c r="J81" s="7" t="n">
        <v>6</v>
      </c>
      <c r="K81" s="7">
        <f t="array" ref="K81">SUM(B82:J82)</f>
        <v/>
      </c>
    </row>
    <row r="82" ht="15" customHeight="1" s="20">
      <c r="A82" s="4" t="inlineStr">
        <is>
          <t>Carlsbad, CA</t>
        </is>
      </c>
      <c r="B82" s="7" t="n">
        <v>6</v>
      </c>
      <c r="C82" s="7" t="n">
        <v>1</v>
      </c>
      <c r="D82" s="7" t="n">
        <v>9</v>
      </c>
      <c r="E82" s="7" t="n">
        <v>2</v>
      </c>
      <c r="F82" s="7" t="n">
        <v>5</v>
      </c>
      <c r="G82" s="7" t="n">
        <v>8</v>
      </c>
      <c r="H82" s="7" t="n">
        <v>7</v>
      </c>
      <c r="I82" s="7" t="n">
        <v>6</v>
      </c>
      <c r="J82" s="7" t="n">
        <v>7</v>
      </c>
      <c r="K82" s="7">
        <f t="array" ref="K82">SUM(B83:J83)</f>
        <v/>
      </c>
    </row>
    <row r="83" ht="15" customHeight="1" s="20">
      <c r="A83" s="4" t="inlineStr">
        <is>
          <t>Flagstaff, AZ</t>
        </is>
      </c>
      <c r="B83" s="7" t="n">
        <v>3</v>
      </c>
      <c r="C83" s="7" t="n">
        <v>3</v>
      </c>
      <c r="D83" s="7" t="n">
        <v>4</v>
      </c>
      <c r="E83" s="7" t="n">
        <v>8</v>
      </c>
      <c r="F83" s="7" t="n">
        <v>6</v>
      </c>
      <c r="G83" s="7" t="n">
        <v>10</v>
      </c>
      <c r="H83" s="7" t="n">
        <v>5</v>
      </c>
      <c r="I83" s="7" t="n">
        <v>5</v>
      </c>
      <c r="J83" s="7" t="n">
        <v>7</v>
      </c>
      <c r="K83" s="7">
        <f t="array" ref="K83">SUM(B84:J84)</f>
        <v/>
      </c>
    </row>
    <row r="84" ht="15" customHeight="1" s="20">
      <c r="A84" s="4" t="inlineStr">
        <is>
          <t>Sedona, AZ</t>
        </is>
      </c>
      <c r="B84" s="7" t="n">
        <v>3</v>
      </c>
      <c r="C84" s="7" t="n">
        <v>2</v>
      </c>
      <c r="D84" s="7" t="n">
        <v>4</v>
      </c>
      <c r="E84" s="7" t="n">
        <v>8</v>
      </c>
      <c r="F84" s="7" t="n">
        <v>4</v>
      </c>
      <c r="G84" s="7" t="n">
        <v>9</v>
      </c>
      <c r="H84" s="7" t="n">
        <v>6</v>
      </c>
      <c r="I84" s="7" t="n">
        <v>8</v>
      </c>
      <c r="J84" s="7" t="n">
        <v>7</v>
      </c>
      <c r="K84" s="7">
        <f t="array" ref="K84">SUM(B85:J85)</f>
        <v/>
      </c>
    </row>
    <row r="85" ht="15" customHeight="1" s="20">
      <c r="A85" s="4" t="inlineStr">
        <is>
          <t>Missoula, MT</t>
        </is>
      </c>
      <c r="B85" s="7" t="n">
        <v>5</v>
      </c>
      <c r="C85" s="7" t="n">
        <v>4</v>
      </c>
      <c r="D85" s="7" t="n">
        <v>7</v>
      </c>
      <c r="E85" s="7" t="n">
        <v>4</v>
      </c>
      <c r="F85" s="7" t="n">
        <v>5</v>
      </c>
      <c r="G85" s="7" t="n">
        <v>8</v>
      </c>
      <c r="H85" s="7" t="n">
        <v>6</v>
      </c>
      <c r="I85" s="7" t="n">
        <v>3</v>
      </c>
      <c r="J85" s="7" t="n">
        <v>8</v>
      </c>
      <c r="K85" s="7">
        <f t="array" ref="K85">SUM(B86:J86)</f>
        <v/>
      </c>
    </row>
    <row r="86" ht="15" customHeight="1" s="20">
      <c r="A86" s="4" t="inlineStr">
        <is>
          <t>Palm Springs, CA</t>
        </is>
      </c>
      <c r="B86" s="7" t="n">
        <v>6</v>
      </c>
      <c r="C86" s="7" t="n">
        <v>3</v>
      </c>
      <c r="D86" s="7" t="n">
        <v>4</v>
      </c>
      <c r="E86" s="7" t="n">
        <v>2</v>
      </c>
      <c r="F86" s="7" t="n">
        <v>5</v>
      </c>
      <c r="G86" s="7" t="n">
        <v>8</v>
      </c>
      <c r="H86" s="7" t="n">
        <v>9</v>
      </c>
      <c r="I86" s="7" t="n">
        <v>4</v>
      </c>
      <c r="J86" s="7" t="n">
        <v>8</v>
      </c>
      <c r="K86" s="7">
        <f t="array" ref="K86">SUM(B87:J87)</f>
        <v/>
      </c>
    </row>
    <row r="87" ht="15" customHeight="1" s="20">
      <c r="A87" s="4" t="inlineStr">
        <is>
          <t>Napa, CA</t>
        </is>
      </c>
      <c r="B87" s="7" t="n">
        <v>6</v>
      </c>
      <c r="C87" s="7" t="n">
        <v>2</v>
      </c>
      <c r="D87" s="7" t="n">
        <v>6</v>
      </c>
      <c r="E87" s="7" t="n">
        <v>2</v>
      </c>
      <c r="F87" s="7" t="n">
        <v>6</v>
      </c>
      <c r="G87" s="7" t="n">
        <v>6</v>
      </c>
      <c r="H87" s="7" t="n">
        <v>6</v>
      </c>
      <c r="I87" s="7" t="n">
        <v>7</v>
      </c>
      <c r="J87" s="7" t="n">
        <v>8</v>
      </c>
      <c r="K87" s="7">
        <f t="array" ref="K87">SUM(B88:J88)</f>
        <v/>
      </c>
    </row>
    <row r="88" ht="15" customHeight="1" s="20">
      <c r="A88" s="4" t="inlineStr">
        <is>
          <t>Corpus Christi, TX</t>
        </is>
      </c>
      <c r="B88" s="7" t="n">
        <v>3</v>
      </c>
      <c r="C88" s="7" t="n">
        <v>9</v>
      </c>
      <c r="D88" s="7" t="n">
        <v>5</v>
      </c>
      <c r="E88" s="7" t="n">
        <v>9</v>
      </c>
      <c r="F88" s="7" t="n">
        <v>3</v>
      </c>
      <c r="G88" s="7" t="n">
        <v>5</v>
      </c>
      <c r="H88" s="7" t="n">
        <v>4</v>
      </c>
      <c r="I88" s="7" t="n">
        <v>4</v>
      </c>
      <c r="J88" s="7" t="n">
        <v>5</v>
      </c>
      <c r="K88" s="7">
        <f t="array" ref="K88">SUM(B89:J89)</f>
        <v/>
      </c>
    </row>
    <row r="89" ht="15" customHeight="1" s="20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18" min="1" max="1"/>
    <col width="6" customWidth="1" style="18" min="2" max="2"/>
    <col width="30" customWidth="1" style="18" min="3" max="3"/>
    <col width="22" customWidth="1" style="18" min="4" max="5"/>
    <col width="12" customWidth="1" style="18" min="6" max="6"/>
    <col width="8.67188" customWidth="1" style="18" min="7" max="16384"/>
  </cols>
  <sheetData>
    <row r="1" ht="17.25" customHeight="1" s="20">
      <c r="A1" s="3" t="inlineStr">
        <is>
          <t>RetireMeHere — Cities by Budget Range</t>
        </is>
      </c>
      <c r="B1" s="7" t="n"/>
      <c r="C1" s="7" t="n"/>
      <c r="D1" s="7" t="n"/>
      <c r="E1" s="7" t="n"/>
      <c r="F1" s="7" t="n"/>
    </row>
    <row r="2" ht="15" customHeight="1" s="20">
      <c r="A2" s="13" t="inlineStr">
        <is>
          <t>Range 1 — Most Affordable (Under $5,500/mo)</t>
        </is>
      </c>
      <c r="B2" s="7" t="n"/>
      <c r="C2" s="7" t="n"/>
      <c r="D2" s="7" t="n"/>
      <c r="E2" s="7" t="n"/>
      <c r="F2" s="7" t="n"/>
    </row>
    <row r="3" ht="15" customHeight="1" s="20">
      <c r="A3" s="14" t="inlineStr">
        <is>
          <t>City</t>
        </is>
      </c>
      <c r="B3" s="14" t="inlineStr">
        <is>
          <t>State</t>
        </is>
      </c>
      <c r="C3" s="14" t="inlineStr">
        <is>
          <t>Type</t>
        </is>
      </c>
      <c r="D3" s="14" t="inlineStr">
        <is>
          <t>Monthly Est</t>
        </is>
      </c>
      <c r="E3" s="14" t="inlineStr">
        <is>
          <t>Median Home</t>
        </is>
      </c>
      <c r="F3" s="14" t="inlineStr">
        <is>
          <t>Total Score</t>
        </is>
      </c>
    </row>
    <row r="4" ht="15" customHeight="1" s="20">
      <c r="A4" s="4" t="inlineStr">
        <is>
          <t>Knoxville</t>
        </is>
      </c>
      <c r="B4" s="4" t="inlineStr">
        <is>
          <t>TN</t>
        </is>
      </c>
      <c r="C4" s="4" t="inlineStr">
        <is>
          <t>College / Outdoor</t>
        </is>
      </c>
      <c r="D4" s="4" t="inlineStr">
        <is>
          <t>$4,900–$6,100/mo</t>
        </is>
      </c>
      <c r="E4" s="4" t="inlineStr">
        <is>
          <t>$368,000</t>
        </is>
      </c>
      <c r="F4" s="7" t="n">
        <v>66</v>
      </c>
    </row>
    <row r="5" ht="15" customHeight="1" s="20">
      <c r="A5" s="4" t="inlineStr">
        <is>
          <t>Fayetteville</t>
        </is>
      </c>
      <c r="B5" s="4" t="inlineStr">
        <is>
          <t>AR</t>
        </is>
      </c>
      <c r="C5" s="4" t="inlineStr">
        <is>
          <t>College / Outdoor</t>
        </is>
      </c>
      <c r="D5" s="4" t="inlineStr">
        <is>
          <t>$4,700–$5,800/mo</t>
        </is>
      </c>
      <c r="E5" s="4" t="inlineStr">
        <is>
          <t>$339,000</t>
        </is>
      </c>
      <c r="F5" s="7" t="n">
        <v>65</v>
      </c>
    </row>
    <row r="6" ht="15" customHeight="1" s="20">
      <c r="A6" s="4" t="inlineStr">
        <is>
          <t>St. Louis</t>
        </is>
      </c>
      <c r="B6" s="4" t="inlineStr">
        <is>
          <t>MO</t>
        </is>
      </c>
      <c r="C6" s="4" t="inlineStr">
        <is>
          <t>Major Metro / Historic</t>
        </is>
      </c>
      <c r="D6" s="4" t="inlineStr">
        <is>
          <t>$4,400–$5,400/mo</t>
        </is>
      </c>
      <c r="E6" s="4" t="inlineStr">
        <is>
          <t>$235,000</t>
        </is>
      </c>
      <c r="F6" s="7" t="n">
        <v>64</v>
      </c>
    </row>
    <row r="7" ht="15" customHeight="1" s="20">
      <c r="A7" s="4" t="inlineStr">
        <is>
          <t>Philadelphia</t>
        </is>
      </c>
      <c r="B7" s="4" t="inlineStr">
        <is>
          <t>PA</t>
        </is>
      </c>
      <c r="C7" s="4" t="inlineStr">
        <is>
          <t>Historic / Urban / College Town</t>
        </is>
      </c>
      <c r="D7" s="4" t="inlineStr">
        <is>
          <t>$4,200–$5,300/mo</t>
        </is>
      </c>
      <c r="E7" s="4" t="inlineStr">
        <is>
          <t>$240,000</t>
        </is>
      </c>
      <c r="F7" s="7" t="n">
        <v>64</v>
      </c>
    </row>
    <row r="8" ht="15" customHeight="1" s="20">
      <c r="A8" s="4" t="inlineStr">
        <is>
          <t>Tucson</t>
        </is>
      </c>
      <c r="B8" s="4" t="inlineStr">
        <is>
          <t>AZ</t>
        </is>
      </c>
      <c r="C8" s="4" t="inlineStr">
        <is>
          <t>Desert / University</t>
        </is>
      </c>
      <c r="D8" s="4" t="inlineStr">
        <is>
          <t>$4,900–$6,100/mo</t>
        </is>
      </c>
      <c r="E8" s="4" t="inlineStr">
        <is>
          <t>$333,000</t>
        </is>
      </c>
      <c r="F8" s="7" t="n">
        <v>63</v>
      </c>
    </row>
    <row r="9" ht="15" customHeight="1" s="20">
      <c r="A9" s="4" t="inlineStr">
        <is>
          <t>Chattanooga</t>
        </is>
      </c>
      <c r="B9" s="4" t="inlineStr">
        <is>
          <t>TN</t>
        </is>
      </c>
      <c r="C9" s="4" t="inlineStr">
        <is>
          <t>Outdoor / Mid-size</t>
        </is>
      </c>
      <c r="D9" s="4" t="inlineStr">
        <is>
          <t>$4,600–$5,800/mo</t>
        </is>
      </c>
      <c r="E9" s="4" t="inlineStr">
        <is>
          <t>$328,000</t>
        </is>
      </c>
      <c r="F9" s="7" t="n">
        <v>63</v>
      </c>
    </row>
    <row r="10" ht="15" customHeight="1" s="20">
      <c r="A10" s="4" t="inlineStr">
        <is>
          <t>New Orleans</t>
        </is>
      </c>
      <c r="B10" s="4" t="inlineStr">
        <is>
          <t>LA</t>
        </is>
      </c>
      <c r="C10" s="4" t="inlineStr">
        <is>
          <t>Major Metro / Historic / Cultural</t>
        </is>
      </c>
      <c r="D10" s="4" t="inlineStr">
        <is>
          <t>$4,300–$5,400/mo</t>
        </is>
      </c>
      <c r="E10" s="4" t="inlineStr">
        <is>
          <t>$250,000</t>
        </is>
      </c>
      <c r="F10" s="7" t="n">
        <v>63</v>
      </c>
    </row>
    <row r="11" ht="15" customHeight="1" s="20">
      <c r="A11" s="4" t="inlineStr">
        <is>
          <t>Sioux Falls</t>
        </is>
      </c>
      <c r="B11" s="4" t="inlineStr">
        <is>
          <t>SD</t>
        </is>
      </c>
      <c r="C11" s="4" t="inlineStr">
        <is>
          <t>Small Metro / Plains</t>
        </is>
      </c>
      <c r="D11" s="4" t="inlineStr">
        <is>
          <t>$4,900–$6,100/mo</t>
        </is>
      </c>
      <c r="E11" s="4" t="inlineStr">
        <is>
          <t>$314,000</t>
        </is>
      </c>
      <c r="F11" s="7" t="n">
        <v>62</v>
      </c>
    </row>
    <row r="12" ht="15" customHeight="1" s="20">
      <c r="A12" s="13" t="inlineStr">
        <is>
          <t>Columbus</t>
        </is>
      </c>
      <c r="B12" s="4" t="inlineStr">
        <is>
          <t>OH</t>
        </is>
      </c>
      <c r="C12" s="4" t="inlineStr">
        <is>
          <t>Major Metro / College Town</t>
        </is>
      </c>
      <c r="D12" s="4" t="inlineStr">
        <is>
          <t>$4,400–$5,500/mo</t>
        </is>
      </c>
      <c r="E12" s="4" t="inlineStr">
        <is>
          <t>$235,000</t>
        </is>
      </c>
      <c r="F12" s="7" t="n">
        <v>61</v>
      </c>
    </row>
    <row r="13" ht="15" customHeight="1" s="20">
      <c r="A13" s="14" t="inlineStr">
        <is>
          <t>Pittsburgh</t>
        </is>
      </c>
      <c r="B13" s="14" t="inlineStr">
        <is>
          <t>PA</t>
        </is>
      </c>
      <c r="C13" s="14" t="inlineStr">
        <is>
          <t>College Town / Urban / Outdoor</t>
        </is>
      </c>
      <c r="D13" s="14" t="inlineStr">
        <is>
          <t>$4,300–$5,400/mo</t>
        </is>
      </c>
      <c r="E13" s="14" t="inlineStr">
        <is>
          <t>$240,000</t>
        </is>
      </c>
      <c r="F13" s="15" t="n">
        <v>61</v>
      </c>
    </row>
    <row r="14" ht="15" customHeight="1" s="20">
      <c r="A14" s="4" t="inlineStr">
        <is>
          <t>Pensacola</t>
        </is>
      </c>
      <c r="B14" s="4" t="inlineStr">
        <is>
          <t>FL</t>
        </is>
      </c>
      <c r="C14" s="4" t="inlineStr">
        <is>
          <t>Beach / Military</t>
        </is>
      </c>
      <c r="D14" s="4" t="inlineStr">
        <is>
          <t>$4,900–$6,100/mo</t>
        </is>
      </c>
      <c r="E14" s="4" t="inlineStr">
        <is>
          <t>$264,000</t>
        </is>
      </c>
      <c r="F14" s="7" t="n">
        <v>60</v>
      </c>
    </row>
    <row r="15" ht="15" customHeight="1" s="20">
      <c r="A15" s="4" t="inlineStr">
        <is>
          <t>Des Moines</t>
        </is>
      </c>
      <c r="B15" s="4" t="inlineStr">
        <is>
          <t>IA</t>
        </is>
      </c>
      <c r="C15" s="4" t="inlineStr">
        <is>
          <t>Capital City / Midwest</t>
        </is>
      </c>
      <c r="D15" s="4" t="inlineStr">
        <is>
          <t>$4,200–$5,300/mo</t>
        </is>
      </c>
      <c r="E15" s="4" t="inlineStr">
        <is>
          <t>$191,000</t>
        </is>
      </c>
      <c r="F15" s="7" t="n">
        <v>60</v>
      </c>
    </row>
    <row r="16" ht="15" customHeight="1" s="20">
      <c r="A16" s="4" t="inlineStr">
        <is>
          <t>Lexington</t>
        </is>
      </c>
      <c r="B16" s="4" t="inlineStr">
        <is>
          <t>KY</t>
        </is>
      </c>
      <c r="C16" s="4" t="inlineStr">
        <is>
          <t>Horse Country / College</t>
        </is>
      </c>
      <c r="D16" s="4" t="inlineStr">
        <is>
          <t>$4,800–$5,900/mo</t>
        </is>
      </c>
      <c r="E16" s="4" t="inlineStr">
        <is>
          <t>$333,000</t>
        </is>
      </c>
      <c r="F16" s="7" t="n">
        <v>60</v>
      </c>
    </row>
    <row r="17" ht="15" customHeight="1" s="20">
      <c r="A17" s="4" t="inlineStr">
        <is>
          <t>Roanoke</t>
        </is>
      </c>
      <c r="B17" s="4" t="inlineStr">
        <is>
          <t>VA</t>
        </is>
      </c>
      <c r="C17" s="4" t="inlineStr">
        <is>
          <t>Blue Ridge Mountain City</t>
        </is>
      </c>
      <c r="D17" s="4" t="inlineStr">
        <is>
          <t>$4,400–$5,400/mo</t>
        </is>
      </c>
      <c r="E17" s="4" t="inlineStr">
        <is>
          <t>$251,000</t>
        </is>
      </c>
      <c r="F17" s="7" t="n">
        <v>60</v>
      </c>
    </row>
    <row r="18" ht="15" customHeight="1" s="20">
      <c r="A18" s="4" t="inlineStr">
        <is>
          <t>Casper</t>
        </is>
      </c>
      <c r="B18" s="4" t="inlineStr">
        <is>
          <t>WY</t>
        </is>
      </c>
      <c r="C18" s="4" t="inlineStr">
        <is>
          <t>Small City / Outdoor</t>
        </is>
      </c>
      <c r="D18" s="4" t="inlineStr">
        <is>
          <t>$4,600–$5,700/mo</t>
        </is>
      </c>
      <c r="E18" s="4" t="inlineStr">
        <is>
          <t>$273,000</t>
        </is>
      </c>
      <c r="F18" s="7" t="n">
        <v>60</v>
      </c>
    </row>
    <row r="19" ht="15" customHeight="1" s="20">
      <c r="A19" s="4" t="inlineStr">
        <is>
          <t>Iowa City</t>
        </is>
      </c>
      <c r="B19" s="4" t="inlineStr">
        <is>
          <t>IA</t>
        </is>
      </c>
      <c r="C19" s="4" t="inlineStr">
        <is>
          <t>College Town / University Hub</t>
        </is>
      </c>
      <c r="D19" s="4" t="inlineStr">
        <is>
          <t>$4,600–$5,800/mo</t>
        </is>
      </c>
      <c r="E19" s="4" t="inlineStr">
        <is>
          <t>$284,000</t>
        </is>
      </c>
      <c r="F19" s="7" t="n">
        <v>60</v>
      </c>
    </row>
    <row r="20" ht="15" customHeight="1" s="20">
      <c r="A20" s="4" t="inlineStr">
        <is>
          <t>Tulsa</t>
        </is>
      </c>
      <c r="B20" s="4" t="inlineStr">
        <is>
          <t>OK</t>
        </is>
      </c>
      <c r="C20" s="4" t="inlineStr">
        <is>
          <t>Major Metro / Cultural / Plains</t>
        </is>
      </c>
      <c r="D20" s="4" t="inlineStr">
        <is>
          <t>$4,200–$5,300/mo</t>
        </is>
      </c>
      <c r="E20" s="4" t="inlineStr">
        <is>
          <t>$194,000</t>
        </is>
      </c>
      <c r="F20" s="7" t="n">
        <v>60</v>
      </c>
    </row>
    <row r="21" ht="15" customHeight="1" s="20">
      <c r="A21" s="4" t="inlineStr">
        <is>
          <t>Beaufort</t>
        </is>
      </c>
      <c r="B21" s="4" t="inlineStr">
        <is>
          <t>NC</t>
        </is>
      </c>
      <c r="C21" s="4" t="inlineStr">
        <is>
          <t>Historic / Coastal / Small Town</t>
        </is>
      </c>
      <c r="D21" s="4" t="inlineStr">
        <is>
          <t>$4,700–$5,900/mo</t>
        </is>
      </c>
      <c r="E21" s="4" t="inlineStr">
        <is>
          <t>$318,000</t>
        </is>
      </c>
      <c r="F21" s="7" t="n">
        <v>59</v>
      </c>
    </row>
    <row r="22" ht="15" customHeight="1" s="20">
      <c r="A22" s="4" t="inlineStr">
        <is>
          <t>Greenville</t>
        </is>
      </c>
      <c r="B22" s="4" t="inlineStr">
        <is>
          <t>SC</t>
        </is>
      </c>
      <c r="C22" s="4" t="inlineStr">
        <is>
          <t>Inland / Small City</t>
        </is>
      </c>
      <c r="D22" s="4" t="inlineStr">
        <is>
          <t>$4,700–$5,800/mo</t>
        </is>
      </c>
      <c r="E22" s="4" t="inlineStr">
        <is>
          <t>$326,000</t>
        </is>
      </c>
      <c r="F22" s="7" t="n">
        <v>59</v>
      </c>
    </row>
    <row r="23" ht="15" customHeight="1" s="20">
      <c r="A23" s="4" t="inlineStr">
        <is>
          <t>Memphis</t>
        </is>
      </c>
      <c r="B23" s="4" t="inlineStr">
        <is>
          <t>TN</t>
        </is>
      </c>
      <c r="C23" s="4" t="inlineStr">
        <is>
          <t>Urban / Cultural</t>
        </is>
      </c>
      <c r="D23" s="4" t="inlineStr">
        <is>
          <t>$4,100–$5,100/mo</t>
        </is>
      </c>
      <c r="E23" s="4" t="inlineStr">
        <is>
          <t>$195,000</t>
        </is>
      </c>
      <c r="F23" s="7" t="n">
        <v>59</v>
      </c>
    </row>
    <row r="24" ht="15" customHeight="1" s="20">
      <c r="A24" s="4" t="inlineStr">
        <is>
          <t>Bloomington</t>
        </is>
      </c>
      <c r="B24" s="4" t="inlineStr">
        <is>
          <t>IN</t>
        </is>
      </c>
      <c r="C24" s="4" t="inlineStr">
        <is>
          <t>College Town</t>
        </is>
      </c>
      <c r="D24" s="4" t="inlineStr">
        <is>
          <t>$4,600–$5,700/mo</t>
        </is>
      </c>
      <c r="E24" s="4" t="inlineStr">
        <is>
          <t>$296,000</t>
        </is>
      </c>
      <c r="F24" s="7" t="n">
        <v>57</v>
      </c>
    </row>
    <row r="25" ht="15" customHeight="1" s="20">
      <c r="A25" s="4" t="inlineStr">
        <is>
          <t>La Crosse</t>
        </is>
      </c>
      <c r="B25" s="4" t="inlineStr">
        <is>
          <t>WI</t>
        </is>
      </c>
      <c r="C25" s="4" t="inlineStr">
        <is>
          <t>River City / College Town</t>
        </is>
      </c>
      <c r="D25" s="4" t="inlineStr">
        <is>
          <t>$4,500–$5,500/mo</t>
        </is>
      </c>
      <c r="E25" s="4" t="inlineStr">
        <is>
          <t>$243,000</t>
        </is>
      </c>
      <c r="F25" s="7" t="n">
        <v>57</v>
      </c>
    </row>
    <row r="26" ht="15" customHeight="1" s="20">
      <c r="A26" s="4" t="inlineStr">
        <is>
          <t>Kansas City</t>
        </is>
      </c>
      <c r="B26" s="4" t="inlineStr">
        <is>
          <t>MO</t>
        </is>
      </c>
      <c r="C26" s="4" t="inlineStr">
        <is>
          <t>Urban / Cultural</t>
        </is>
      </c>
      <c r="D26" s="4" t="inlineStr">
        <is>
          <t>$4,500–$5,700/mo</t>
        </is>
      </c>
      <c r="E26" s="4" t="inlineStr">
        <is>
          <t>$250,000</t>
        </is>
      </c>
      <c r="F26" s="7" t="n">
        <v>56</v>
      </c>
    </row>
    <row r="27" ht="15" customHeight="1" s="20">
      <c r="A27" s="4" t="inlineStr">
        <is>
          <t>Savannah</t>
        </is>
      </c>
      <c r="B27" s="4" t="inlineStr">
        <is>
          <t>GA</t>
        </is>
      </c>
      <c r="C27" s="4" t="inlineStr">
        <is>
          <t>Historic / Coastal</t>
        </is>
      </c>
      <c r="D27" s="4" t="inlineStr">
        <is>
          <t>$4,700–$5,800/mo</t>
        </is>
      </c>
      <c r="E27" s="4" t="inlineStr">
        <is>
          <t>$326,000</t>
        </is>
      </c>
      <c r="F27" s="7" t="n">
        <v>55</v>
      </c>
    </row>
    <row r="28" ht="15" customHeight="1" s="20">
      <c r="A28" s="4" t="inlineStr">
        <is>
          <t>Johnson City</t>
        </is>
      </c>
      <c r="B28" s="4" t="inlineStr">
        <is>
          <t>TN</t>
        </is>
      </c>
      <c r="C28" s="4" t="inlineStr">
        <is>
          <t>Mountain / Affordable</t>
        </is>
      </c>
      <c r="D28" s="4" t="inlineStr">
        <is>
          <t>$4,400–$5,400/mo</t>
        </is>
      </c>
      <c r="E28" s="4" t="inlineStr">
        <is>
          <t>$264,000</t>
        </is>
      </c>
      <c r="F28" s="7" t="n">
        <v>55</v>
      </c>
    </row>
    <row r="29" ht="15" customHeight="1" s="20">
      <c r="A29" s="4" t="inlineStr">
        <is>
          <t>Rio Rancho</t>
        </is>
      </c>
      <c r="B29" s="4" t="inlineStr">
        <is>
          <t>NM</t>
        </is>
      </c>
      <c r="C29" s="4" t="inlineStr">
        <is>
          <t>Desert Suburb</t>
        </is>
      </c>
      <c r="D29" s="4" t="inlineStr">
        <is>
          <t>$4,800–$6,000/mo</t>
        </is>
      </c>
      <c r="E29" s="4" t="inlineStr">
        <is>
          <t>$323,000</t>
        </is>
      </c>
      <c r="F29" s="7" t="n">
        <v>54</v>
      </c>
    </row>
    <row r="30" ht="15" customHeight="1" s="20">
      <c r="A30" s="4" t="inlineStr">
        <is>
          <t>Hot Springs</t>
        </is>
      </c>
      <c r="B30" s="4" t="inlineStr">
        <is>
          <t>AR</t>
        </is>
      </c>
      <c r="C30" s="4" t="inlineStr">
        <is>
          <t>Spa / Resort Town</t>
        </is>
      </c>
      <c r="D30" s="4" t="inlineStr">
        <is>
          <t>$4,300–$5,300/mo</t>
        </is>
      </c>
      <c r="E30" s="4" t="inlineStr">
        <is>
          <t>$238,000</t>
        </is>
      </c>
      <c r="F30" s="7" t="n">
        <v>52</v>
      </c>
    </row>
    <row r="31" ht="15" customHeight="1" s="20">
      <c r="A31" s="4" t="inlineStr">
        <is>
          <t>Paducah</t>
        </is>
      </c>
      <c r="B31" s="4" t="inlineStr">
        <is>
          <t>KY</t>
        </is>
      </c>
      <c r="C31" s="4" t="inlineStr">
        <is>
          <t>River City / Arts</t>
        </is>
      </c>
      <c r="D31" s="4" t="inlineStr">
        <is>
          <t>$4,100–$5,100/mo</t>
        </is>
      </c>
      <c r="E31" s="4" t="inlineStr">
        <is>
          <t>$185,000</t>
        </is>
      </c>
      <c r="F31" s="7" t="n">
        <v>52</v>
      </c>
    </row>
    <row r="32" ht="15" customHeight="1" s="20">
      <c r="A32" s="4" t="inlineStr">
        <is>
          <t>Eureka Springs</t>
        </is>
      </c>
      <c r="B32" s="4" t="inlineStr">
        <is>
          <t>AR</t>
        </is>
      </c>
      <c r="C32" s="4" t="inlineStr">
        <is>
          <t>Mountain Arts Town</t>
        </is>
      </c>
      <c r="D32" s="4" t="inlineStr">
        <is>
          <t>$4,600–$5,700/mo</t>
        </is>
      </c>
      <c r="E32" s="4" t="inlineStr">
        <is>
          <t>$315,000</t>
        </is>
      </c>
      <c r="F32" s="7" t="n">
        <v>51</v>
      </c>
    </row>
    <row r="33" ht="15" customHeight="1" s="20">
      <c r="A33" s="4" t="inlineStr">
        <is>
          <t>Corpus Christi</t>
        </is>
      </c>
      <c r="B33" s="4" t="inlineStr">
        <is>
          <t>TX</t>
        </is>
      </c>
      <c r="C33" s="4" t="inlineStr">
        <is>
          <t>Beach / Affordable</t>
        </is>
      </c>
      <c r="D33" s="4" t="inlineStr">
        <is>
          <t>$4,600–$5,700/mo</t>
        </is>
      </c>
      <c r="E33" s="4" t="inlineStr">
        <is>
          <t>$219,000</t>
        </is>
      </c>
      <c r="F33" s="7" t="n">
        <v>47</v>
      </c>
    </row>
    <row r="34" ht="15" customHeight="1" s="20">
      <c r="A34" s="4" t="inlineStr">
        <is>
          <t>St. Paul</t>
        </is>
      </c>
      <c r="B34" s="4" t="inlineStr">
        <is>
          <t>MN</t>
        </is>
      </c>
      <c r="C34" s="4" t="inlineStr">
        <is>
          <t>Major Metro</t>
        </is>
      </c>
      <c r="D34" s="4" t="inlineStr">
        <is>
          <t>$4,700–$5,900/mo</t>
        </is>
      </c>
      <c r="E34" s="21" t="n">
        <v>297000</v>
      </c>
      <c r="F34" s="7" t="n">
        <v>62</v>
      </c>
    </row>
    <row r="35" ht="15" customHeight="1" s="20">
      <c r="A35" s="7" t="n"/>
      <c r="B35" s="7" t="n"/>
      <c r="C35" s="7" t="n"/>
      <c r="D35" s="7" t="n"/>
      <c r="E35" s="7" t="n"/>
      <c r="F35" s="7" t="n"/>
    </row>
    <row r="36" ht="15" customHeight="1" s="20">
      <c r="A36" s="4" t="inlineStr">
        <is>
          <t>Range 2 — Affordable ($5,500–$6,499/mo)</t>
        </is>
      </c>
      <c r="B36" s="7" t="n"/>
      <c r="C36" s="7" t="n"/>
      <c r="D36" s="7" t="n"/>
      <c r="E36" s="7" t="n"/>
      <c r="F36" s="7" t="n"/>
    </row>
    <row r="37" ht="15" customHeight="1" s="20">
      <c r="A37" s="4" t="inlineStr">
        <is>
          <t>City</t>
        </is>
      </c>
      <c r="B37" s="4" t="inlineStr">
        <is>
          <t>State</t>
        </is>
      </c>
      <c r="C37" s="4" t="inlineStr">
        <is>
          <t>Type</t>
        </is>
      </c>
      <c r="D37" s="4" t="inlineStr">
        <is>
          <t>Monthly Est</t>
        </is>
      </c>
      <c r="E37" s="4" t="inlineStr">
        <is>
          <t>Median Home</t>
        </is>
      </c>
      <c r="F37" s="4" t="inlineStr">
        <is>
          <t>Total Score</t>
        </is>
      </c>
    </row>
    <row r="38" ht="15" customHeight="1" s="20">
      <c r="A38" s="4" t="inlineStr">
        <is>
          <t>Delray Beach</t>
        </is>
      </c>
      <c r="B38" s="4" t="inlineStr">
        <is>
          <t>FL</t>
        </is>
      </c>
      <c r="C38" s="4" t="inlineStr">
        <is>
          <t>Beach / Walkable</t>
        </is>
      </c>
      <c r="D38" s="4" t="inlineStr">
        <is>
          <t>$5,100–$6,300/mo</t>
        </is>
      </c>
      <c r="E38" s="4" t="inlineStr">
        <is>
          <t>$341,000</t>
        </is>
      </c>
      <c r="F38" s="7" t="n">
        <v>68</v>
      </c>
    </row>
    <row r="39" ht="15" customHeight="1" s="20">
      <c r="A39" s="13" t="inlineStr">
        <is>
          <t>St. Petersburg</t>
        </is>
      </c>
      <c r="B39" s="4" t="inlineStr">
        <is>
          <t>FL</t>
        </is>
      </c>
      <c r="C39" s="4" t="inlineStr">
        <is>
          <t>Beach / Arts City</t>
        </is>
      </c>
      <c r="D39" s="4" t="inlineStr">
        <is>
          <t>$5,200–$6,500/mo</t>
        </is>
      </c>
      <c r="E39" s="4" t="inlineStr">
        <is>
          <t>$375,000</t>
        </is>
      </c>
      <c r="F39" s="7" t="n">
        <v>68</v>
      </c>
    </row>
    <row r="40" ht="15" customHeight="1" s="20">
      <c r="A40" s="14" t="inlineStr">
        <is>
          <t>Tampa</t>
        </is>
      </c>
      <c r="B40" s="14" t="inlineStr">
        <is>
          <t>FL</t>
        </is>
      </c>
      <c r="C40" s="14" t="inlineStr">
        <is>
          <t>Metro / Beach</t>
        </is>
      </c>
      <c r="D40" s="14" t="inlineStr">
        <is>
          <t>$5,500–$6,800/mo</t>
        </is>
      </c>
      <c r="E40" s="14" t="inlineStr">
        <is>
          <t>$400,000</t>
        </is>
      </c>
      <c r="F40" s="15" t="n">
        <v>68</v>
      </c>
    </row>
    <row r="41" ht="15" customHeight="1" s="20">
      <c r="A41" s="4" t="inlineStr">
        <is>
          <t>Salt Lake City</t>
        </is>
      </c>
      <c r="B41" s="4" t="inlineStr">
        <is>
          <t>UT</t>
        </is>
      </c>
      <c r="C41" s="4" t="inlineStr">
        <is>
          <t>Major Metro / Mountain</t>
        </is>
      </c>
      <c r="D41" s="4" t="inlineStr">
        <is>
          <t>$5,700–$7,100/mo</t>
        </is>
      </c>
      <c r="E41" s="4" t="inlineStr">
        <is>
          <t>$525,000</t>
        </is>
      </c>
      <c r="F41" s="7" t="n">
        <v>67</v>
      </c>
    </row>
    <row r="42" ht="15" customHeight="1" s="20">
      <c r="A42" s="4" t="inlineStr">
        <is>
          <t>Sarasota</t>
        </is>
      </c>
      <c r="B42" s="4" t="inlineStr">
        <is>
          <t>FL</t>
        </is>
      </c>
      <c r="C42" s="4" t="inlineStr">
        <is>
          <t>Beach / Arts</t>
        </is>
      </c>
      <c r="D42" s="4" t="inlineStr">
        <is>
          <t>$5,800–$7,200/mo</t>
        </is>
      </c>
      <c r="E42" s="4" t="inlineStr">
        <is>
          <t>$462,000</t>
        </is>
      </c>
      <c r="F42" s="7" t="n">
        <v>66</v>
      </c>
    </row>
    <row r="43" ht="15" customHeight="1" s="20">
      <c r="A43" s="4" t="inlineStr">
        <is>
          <t>Ann Arbor</t>
        </is>
      </c>
      <c r="B43" s="4" t="inlineStr">
        <is>
          <t>MI</t>
        </is>
      </c>
      <c r="C43" s="4" t="inlineStr">
        <is>
          <t>College Town</t>
        </is>
      </c>
      <c r="D43" s="4" t="inlineStr">
        <is>
          <t>$5,600–$6,900/mo</t>
        </is>
      </c>
      <c r="E43" s="4" t="inlineStr">
        <is>
          <t>$489,000</t>
        </is>
      </c>
      <c r="F43" s="7" t="n">
        <v>66</v>
      </c>
    </row>
    <row r="44" ht="15" customHeight="1" s="20">
      <c r="A44" s="4" t="inlineStr">
        <is>
          <t>Fort Myers</t>
        </is>
      </c>
      <c r="B44" s="4" t="inlineStr">
        <is>
          <t>FL</t>
        </is>
      </c>
      <c r="C44" s="4" t="inlineStr">
        <is>
          <t>Beach / Active Adult</t>
        </is>
      </c>
      <c r="D44" s="4" t="inlineStr">
        <is>
          <t>$5,500–$6,800/mo</t>
        </is>
      </c>
      <c r="E44" s="4" t="inlineStr">
        <is>
          <t>$372,000</t>
        </is>
      </c>
      <c r="F44" s="7" t="n">
        <v>64</v>
      </c>
    </row>
    <row r="45" ht="15" customHeight="1" s="20">
      <c r="A45" s="4" t="inlineStr">
        <is>
          <t>St. Augustine</t>
        </is>
      </c>
      <c r="B45" s="4" t="inlineStr">
        <is>
          <t>FL</t>
        </is>
      </c>
      <c r="C45" s="4" t="inlineStr">
        <is>
          <t>Historic / Beach</t>
        </is>
      </c>
      <c r="D45" s="4" t="inlineStr">
        <is>
          <t>$5,700–$7,100/mo</t>
        </is>
      </c>
      <c r="E45" s="4" t="inlineStr">
        <is>
          <t>$432,000</t>
        </is>
      </c>
      <c r="F45" s="7" t="n">
        <v>64</v>
      </c>
    </row>
    <row r="46" ht="15" customHeight="1" s="20">
      <c r="A46" s="4" t="inlineStr">
        <is>
          <t>Charleston</t>
        </is>
      </c>
      <c r="B46" s="4" t="inlineStr">
        <is>
          <t>SC</t>
        </is>
      </c>
      <c r="C46" s="4" t="inlineStr">
        <is>
          <t>Historic / Beach</t>
        </is>
      </c>
      <c r="D46" s="4" t="inlineStr">
        <is>
          <t>$5,600–$7,000/mo</t>
        </is>
      </c>
      <c r="E46" s="4" t="inlineStr">
        <is>
          <t>$526,000</t>
        </is>
      </c>
      <c r="F46" s="7" t="n">
        <v>64</v>
      </c>
    </row>
    <row r="47" ht="15" customHeight="1" s="20">
      <c r="A47" s="4" t="inlineStr">
        <is>
          <t>Nashville</t>
        </is>
      </c>
      <c r="B47" s="4" t="inlineStr">
        <is>
          <t>TN</t>
        </is>
      </c>
      <c r="C47" s="4" t="inlineStr">
        <is>
          <t>Metro / Music City</t>
        </is>
      </c>
      <c r="D47" s="4" t="inlineStr">
        <is>
          <t>$5,400–$6,700/mo</t>
        </is>
      </c>
      <c r="E47" s="4" t="inlineStr">
        <is>
          <t>$460,000</t>
        </is>
      </c>
      <c r="F47" s="7" t="n">
        <v>64</v>
      </c>
    </row>
    <row r="48" ht="15" customHeight="1" s="20">
      <c r="A48" s="4" t="inlineStr">
        <is>
          <t>San Antonio</t>
        </is>
      </c>
      <c r="B48" s="4" t="inlineStr">
        <is>
          <t>TX</t>
        </is>
      </c>
      <c r="C48" s="4" t="inlineStr">
        <is>
          <t>City / Historic</t>
        </is>
      </c>
      <c r="D48" s="4" t="inlineStr">
        <is>
          <t>$5,100–$6,400/mo</t>
        </is>
      </c>
      <c r="E48" s="4" t="inlineStr">
        <is>
          <t>$320,000</t>
        </is>
      </c>
      <c r="F48" s="7" t="n">
        <v>63</v>
      </c>
    </row>
    <row r="49" ht="15" customHeight="1" s="20">
      <c r="A49" s="4" t="inlineStr">
        <is>
          <t>Traverse City</t>
        </is>
      </c>
      <c r="B49" s="4" t="inlineStr">
        <is>
          <t>MI</t>
        </is>
      </c>
      <c r="C49" s="4" t="inlineStr">
        <is>
          <t>Resort / Lakeside / Wine Country</t>
        </is>
      </c>
      <c r="D49" s="4" t="inlineStr">
        <is>
          <t>$5,300–$6,600/mo</t>
        </is>
      </c>
      <c r="E49" s="4" t="inlineStr">
        <is>
          <t>$420,000</t>
        </is>
      </c>
      <c r="F49" s="7" t="n">
        <v>63</v>
      </c>
    </row>
    <row r="50" ht="15" customHeight="1" s="20">
      <c r="A50" s="7" t="n"/>
      <c r="B50" s="7" t="n"/>
      <c r="C50" s="7" t="n"/>
      <c r="D50" s="7" t="n"/>
      <c r="E50" s="7" t="n"/>
      <c r="F50" s="7" t="n"/>
    </row>
    <row r="51" ht="15" customHeight="1" s="20">
      <c r="A51" s="4" t="inlineStr">
        <is>
          <t>Las Vegas</t>
        </is>
      </c>
      <c r="B51" s="4" t="inlineStr">
        <is>
          <t>NV</t>
        </is>
      </c>
      <c r="C51" s="4" t="inlineStr">
        <is>
          <t>Major Metro / Entertainment</t>
        </is>
      </c>
      <c r="D51" s="4" t="inlineStr">
        <is>
          <t>$5,600–$7,000/mo</t>
        </is>
      </c>
      <c r="E51" s="4" t="inlineStr">
        <is>
          <t>$478,000</t>
        </is>
      </c>
      <c r="F51" s="7" t="n">
        <v>62</v>
      </c>
    </row>
    <row r="52" ht="15" customHeight="1" s="20">
      <c r="A52" s="4" t="inlineStr">
        <is>
          <t>Bentonville</t>
        </is>
      </c>
      <c r="B52" s="4" t="inlineStr">
        <is>
          <t>AR</t>
        </is>
      </c>
      <c r="C52" s="4" t="inlineStr">
        <is>
          <t>Small City / Cultural / Ozarks</t>
        </is>
      </c>
      <c r="D52" s="4" t="inlineStr">
        <is>
          <t>$5,500–$6,900/mo</t>
        </is>
      </c>
      <c r="E52" s="4" t="inlineStr">
        <is>
          <t>$488,000</t>
        </is>
      </c>
      <c r="F52" s="7" t="n">
        <v>62</v>
      </c>
    </row>
    <row r="53" ht="15" customHeight="1" s="20">
      <c r="A53" s="4" t="inlineStr">
        <is>
          <t>Raleigh</t>
        </is>
      </c>
      <c r="B53" s="4" t="inlineStr">
        <is>
          <t>NC</t>
        </is>
      </c>
      <c r="C53" s="4" t="inlineStr">
        <is>
          <t>Metro / Research</t>
        </is>
      </c>
      <c r="D53" s="4" t="inlineStr">
        <is>
          <t>$5,400–$6,700/mo</t>
        </is>
      </c>
      <c r="E53" s="4" t="inlineStr">
        <is>
          <t>$436,000</t>
        </is>
      </c>
      <c r="F53" s="7" t="n">
        <v>61</v>
      </c>
    </row>
    <row r="54" ht="15" customHeight="1" s="20">
      <c r="A54" s="4" t="inlineStr">
        <is>
          <t>Fort Worth</t>
        </is>
      </c>
      <c r="B54" s="4" t="inlineStr">
        <is>
          <t>TX</t>
        </is>
      </c>
      <c r="C54" s="4" t="inlineStr">
        <is>
          <t>City / Western</t>
        </is>
      </c>
      <c r="D54" s="4" t="inlineStr">
        <is>
          <t>$5,000–$6,200/mo</t>
        </is>
      </c>
      <c r="E54" s="4" t="inlineStr">
        <is>
          <t>$300,000</t>
        </is>
      </c>
      <c r="F54" s="7" t="n">
        <v>61</v>
      </c>
    </row>
    <row r="55" ht="15" customHeight="1" s="20">
      <c r="A55" s="4" t="inlineStr">
        <is>
          <t>Spokane</t>
        </is>
      </c>
      <c r="B55" s="4" t="inlineStr">
        <is>
          <t>WA</t>
        </is>
      </c>
      <c r="C55" s="4" t="inlineStr">
        <is>
          <t>Inland / Outdoor</t>
        </is>
      </c>
      <c r="D55" s="4" t="inlineStr">
        <is>
          <t>$5,300–$6,600/mo</t>
        </is>
      </c>
      <c r="E55" s="4" t="inlineStr">
        <is>
          <t>$404,000</t>
        </is>
      </c>
      <c r="F55" s="7" t="n">
        <v>61</v>
      </c>
    </row>
    <row r="56" ht="15" customHeight="1" s="20">
      <c r="A56" s="4" t="inlineStr">
        <is>
          <t>St. George</t>
        </is>
      </c>
      <c r="B56" s="4" t="inlineStr">
        <is>
          <t>UT</t>
        </is>
      </c>
      <c r="C56" s="4" t="inlineStr">
        <is>
          <t>Desert / Outdoor</t>
        </is>
      </c>
      <c r="D56" s="4" t="inlineStr">
        <is>
          <t>$5,700–$7,100/mo</t>
        </is>
      </c>
      <c r="E56" s="4" t="inlineStr">
        <is>
          <t>$507,000</t>
        </is>
      </c>
      <c r="F56" s="7" t="n">
        <v>59</v>
      </c>
    </row>
    <row r="57" ht="15" customHeight="1" s="20">
      <c r="A57" s="4" t="inlineStr">
        <is>
          <t>Virginia Beach</t>
        </is>
      </c>
      <c r="B57" s="4" t="inlineStr">
        <is>
          <t>VA</t>
        </is>
      </c>
      <c r="C57" s="4" t="inlineStr">
        <is>
          <t>Beach / Metro</t>
        </is>
      </c>
      <c r="D57" s="4" t="inlineStr">
        <is>
          <t>$5,300–$6,600/mo</t>
        </is>
      </c>
      <c r="E57" s="4" t="inlineStr">
        <is>
          <t>$417,000</t>
        </is>
      </c>
      <c r="F57" s="7" t="n">
        <v>59</v>
      </c>
    </row>
    <row r="58" ht="15" customHeight="1" s="20">
      <c r="A58" s="4" t="inlineStr">
        <is>
          <t>Colorado Springs</t>
        </is>
      </c>
      <c r="B58" s="4" t="inlineStr">
        <is>
          <t>CO</t>
        </is>
      </c>
      <c r="C58" s="4" t="inlineStr">
        <is>
          <t>Mountain / Military</t>
        </is>
      </c>
      <c r="D58" s="4" t="inlineStr">
        <is>
          <t>$5,700–$7,100/mo</t>
        </is>
      </c>
      <c r="E58" s="4" t="inlineStr">
        <is>
          <t>$456,000</t>
        </is>
      </c>
      <c r="F58" s="7" t="n">
        <v>58</v>
      </c>
    </row>
    <row r="59" ht="15" customHeight="1" s="20">
      <c r="A59" s="4" t="inlineStr">
        <is>
          <t>Boise</t>
        </is>
      </c>
      <c r="B59" s="4" t="inlineStr">
        <is>
          <t>ID</t>
        </is>
      </c>
      <c r="C59" s="4" t="inlineStr">
        <is>
          <t>Outdoor / Growing</t>
        </is>
      </c>
      <c r="D59" s="4" t="inlineStr">
        <is>
          <t>$5,700–$7,000/mo</t>
        </is>
      </c>
      <c r="E59" s="4" t="inlineStr">
        <is>
          <t>$505,000</t>
        </is>
      </c>
      <c r="F59" s="7" t="n">
        <v>58</v>
      </c>
    </row>
    <row r="60" ht="15" customHeight="1" s="20">
      <c r="A60" s="4" t="inlineStr">
        <is>
          <t>Asheville</t>
        </is>
      </c>
      <c r="B60" s="4" t="inlineStr">
        <is>
          <t>NC</t>
        </is>
      </c>
      <c r="C60" s="4" t="inlineStr">
        <is>
          <t>Mountain Arts Town</t>
        </is>
      </c>
      <c r="D60" s="4" t="inlineStr">
        <is>
          <t>$5,400–$6,700/mo</t>
        </is>
      </c>
      <c r="E60" s="4" t="inlineStr">
        <is>
          <t>$462,000</t>
        </is>
      </c>
      <c r="F60" s="7" t="n">
        <v>58</v>
      </c>
    </row>
    <row r="61" ht="15" customHeight="1" s="20">
      <c r="A61" s="4" t="inlineStr">
        <is>
          <t>Charlottesville</t>
        </is>
      </c>
      <c r="B61" s="4" t="inlineStr">
        <is>
          <t>VA</t>
        </is>
      </c>
      <c r="C61" s="4" t="inlineStr">
        <is>
          <t>College / Historic</t>
        </is>
      </c>
      <c r="D61" s="4" t="inlineStr">
        <is>
          <t>$5,500–$6,800/mo</t>
        </is>
      </c>
      <c r="E61" s="4" t="inlineStr">
        <is>
          <t>$465,000</t>
        </is>
      </c>
      <c r="F61" s="7" t="n">
        <v>58</v>
      </c>
    </row>
    <row r="62" ht="15" customHeight="1" s="20">
      <c r="A62" s="4" t="inlineStr">
        <is>
          <t>Madison</t>
        </is>
      </c>
      <c r="B62" s="4" t="inlineStr">
        <is>
          <t>WI</t>
        </is>
      </c>
      <c r="C62" s="4" t="inlineStr">
        <is>
          <t>College Town / Lakes</t>
        </is>
      </c>
      <c r="D62" s="4" t="inlineStr">
        <is>
          <t>$5,400–$6,700/mo</t>
        </is>
      </c>
      <c r="E62" s="4" t="inlineStr">
        <is>
          <t>$413,000</t>
        </is>
      </c>
      <c r="F62" s="7" t="n">
        <v>58</v>
      </c>
    </row>
    <row r="63" ht="15" customHeight="1" s="20">
      <c r="A63" s="4" t="inlineStr">
        <is>
          <t>Nashua</t>
        </is>
      </c>
      <c r="B63" s="4" t="inlineStr">
        <is>
          <t>NH</t>
        </is>
      </c>
      <c r="C63" s="4" t="inlineStr">
        <is>
          <t>New England / Value</t>
        </is>
      </c>
      <c r="D63" s="4" t="inlineStr">
        <is>
          <t>$5,600–$7,000/mo</t>
        </is>
      </c>
      <c r="E63" s="4" t="inlineStr">
        <is>
          <t>$440,000</t>
        </is>
      </c>
      <c r="F63" s="7" t="n">
        <v>57</v>
      </c>
    </row>
    <row r="64" ht="15" customHeight="1" s="20">
      <c r="A64" s="4" t="inlineStr">
        <is>
          <t>Grand Junction</t>
        </is>
      </c>
      <c r="B64" s="4" t="inlineStr">
        <is>
          <t>CO</t>
        </is>
      </c>
      <c r="C64" s="4" t="inlineStr">
        <is>
          <t>Desert / Wine Country</t>
        </is>
      </c>
      <c r="D64" s="4" t="inlineStr">
        <is>
          <t>$5,600–$6,900/mo</t>
        </is>
      </c>
      <c r="E64" s="4" t="inlineStr">
        <is>
          <t>$425,000</t>
        </is>
      </c>
      <c r="F64" s="7" t="n">
        <v>56</v>
      </c>
    </row>
    <row r="65" ht="15" customHeight="1" s="20">
      <c r="A65" s="4" t="inlineStr">
        <is>
          <t>Indianapolis</t>
        </is>
      </c>
      <c r="B65" s="4" t="inlineStr">
        <is>
          <t>IN</t>
        </is>
      </c>
      <c r="C65" s="4" t="inlineStr">
        <is>
          <t>Urban / Sports</t>
        </is>
      </c>
      <c r="D65" s="4" t="inlineStr">
        <is>
          <t>$5,400–$6,700/mo</t>
        </is>
      </c>
      <c r="E65" s="4" t="inlineStr">
        <is>
          <t>$432,000</t>
        </is>
      </c>
      <c r="F65" s="7" t="n">
        <v>55</v>
      </c>
    </row>
    <row r="66" ht="15" customHeight="1" s="20">
      <c r="A66" s="4" t="inlineStr">
        <is>
          <t>Fairhope</t>
        </is>
      </c>
      <c r="B66" s="4" t="inlineStr">
        <is>
          <t>AL</t>
        </is>
      </c>
      <c r="C66" s="4" t="inlineStr">
        <is>
          <t>Small Town / Coastal</t>
        </is>
      </c>
      <c r="D66" s="4" t="inlineStr">
        <is>
          <t>$5,200–$6,500/mo</t>
        </is>
      </c>
      <c r="E66" s="4" t="inlineStr">
        <is>
          <t>$461,000</t>
        </is>
      </c>
      <c r="F66" s="7" t="n">
        <v>54</v>
      </c>
    </row>
    <row r="67" ht="15" customHeight="1" s="20">
      <c r="A67" s="4" t="inlineStr">
        <is>
          <t>Wilmington</t>
        </is>
      </c>
      <c r="B67" s="4" t="inlineStr">
        <is>
          <t>NC</t>
        </is>
      </c>
      <c r="C67" s="4" t="inlineStr">
        <is>
          <t>Beach / Historic</t>
        </is>
      </c>
      <c r="D67" s="4" t="inlineStr">
        <is>
          <t>$5,200–$6,500/mo</t>
        </is>
      </c>
      <c r="E67" s="4" t="inlineStr">
        <is>
          <t>$418,000</t>
        </is>
      </c>
      <c r="F67" s="7" t="n">
        <v>52</v>
      </c>
    </row>
    <row r="68" ht="15" customHeight="1" s="20">
      <c r="A68" s="4" t="inlineStr">
        <is>
          <t>Eugene</t>
        </is>
      </c>
      <c r="B68" s="4" t="inlineStr">
        <is>
          <t>OR</t>
        </is>
      </c>
      <c r="C68" s="4" t="inlineStr">
        <is>
          <t>College / Outdoor</t>
        </is>
      </c>
      <c r="D68" s="4" t="inlineStr">
        <is>
          <t>$5,600–$6,900/mo</t>
        </is>
      </c>
      <c r="E68" s="4" t="inlineStr">
        <is>
          <t>$478,000</t>
        </is>
      </c>
      <c r="F68" s="7" t="n">
        <v>52</v>
      </c>
    </row>
    <row r="69" ht="15" customHeight="1" s="20">
      <c r="A69" s="7" t="n"/>
      <c r="B69" s="7" t="n"/>
      <c r="C69" s="7" t="n"/>
      <c r="D69" s="7" t="n"/>
      <c r="E69" s="7" t="n"/>
      <c r="F69" s="7" t="n"/>
    </row>
    <row r="70" ht="15" customHeight="1" s="20">
      <c r="A70" s="4" t="inlineStr">
        <is>
          <t>Range 3 — Mid-Range ($6,500–$7,499/mo)</t>
        </is>
      </c>
      <c r="B70" s="7" t="n"/>
      <c r="C70" s="7" t="n"/>
      <c r="D70" s="7" t="n"/>
      <c r="E70" s="7" t="n"/>
      <c r="F70" s="7" t="n"/>
    </row>
    <row r="71" ht="15" customHeight="1" s="20">
      <c r="A71" s="4" t="inlineStr">
        <is>
          <t>City</t>
        </is>
      </c>
      <c r="B71" s="4" t="inlineStr">
        <is>
          <t>State</t>
        </is>
      </c>
      <c r="C71" s="4" t="inlineStr">
        <is>
          <t>Type</t>
        </is>
      </c>
      <c r="D71" s="4" t="inlineStr">
        <is>
          <t>Monthly Est</t>
        </is>
      </c>
      <c r="E71" s="4" t="inlineStr">
        <is>
          <t>Median Home</t>
        </is>
      </c>
      <c r="F71" s="4" t="inlineStr">
        <is>
          <t>Total Score</t>
        </is>
      </c>
    </row>
    <row r="72" ht="15" customHeight="1" s="20">
      <c r="A72" s="4" t="inlineStr">
        <is>
          <t>Naples</t>
        </is>
      </c>
      <c r="B72" s="4" t="inlineStr">
        <is>
          <t>FL</t>
        </is>
      </c>
      <c r="C72" s="4" t="inlineStr">
        <is>
          <t>Beach / Resort</t>
        </is>
      </c>
      <c r="D72" s="4" t="inlineStr">
        <is>
          <t>$6,500–$8,100/mo</t>
        </is>
      </c>
      <c r="E72" s="4" t="inlineStr">
        <is>
          <t>$585,000</t>
        </is>
      </c>
      <c r="F72" s="7" t="n">
        <v>68</v>
      </c>
    </row>
    <row r="73" ht="15" customHeight="1" s="20">
      <c r="A73" s="4" t="inlineStr">
        <is>
          <t>Miami</t>
        </is>
      </c>
      <c r="B73" s="4" t="inlineStr">
        <is>
          <t>FL</t>
        </is>
      </c>
      <c r="C73" s="4" t="inlineStr">
        <is>
          <t>Major Metro / Beach</t>
        </is>
      </c>
      <c r="D73" s="4" t="inlineStr">
        <is>
          <t>$6,400–$8,000/mo</t>
        </is>
      </c>
      <c r="E73" s="4" t="inlineStr">
        <is>
          <t>$575,000</t>
        </is>
      </c>
      <c r="F73" s="7" t="n">
        <v>68</v>
      </c>
    </row>
    <row r="74" ht="15" customHeight="1" s="20">
      <c r="A74" s="4" t="inlineStr">
        <is>
          <t>Georgetown</t>
        </is>
      </c>
      <c r="B74" s="4" t="inlineStr">
        <is>
          <t>TX</t>
        </is>
      </c>
      <c r="C74" s="4" t="inlineStr">
        <is>
          <t>Active Adult / Suburban</t>
        </is>
      </c>
      <c r="D74" s="4" t="inlineStr">
        <is>
          <t>$5,900–$7,300/mo</t>
        </is>
      </c>
      <c r="E74" s="4" t="inlineStr">
        <is>
          <t>$457,000</t>
        </is>
      </c>
      <c r="F74" s="7" t="n">
        <v>64</v>
      </c>
    </row>
    <row r="75" ht="15" customHeight="1" s="20">
      <c r="A75" s="4" t="inlineStr">
        <is>
          <t>Fort Collins</t>
        </is>
      </c>
      <c r="B75" s="4" t="inlineStr">
        <is>
          <t>CO</t>
        </is>
      </c>
      <c r="C75" s="4" t="inlineStr">
        <is>
          <t>College Town / Outdoor</t>
        </is>
      </c>
      <c r="D75" s="4" t="inlineStr">
        <is>
          <t>$6,200–$7,700/mo</t>
        </is>
      </c>
      <c r="E75" s="4" t="inlineStr">
        <is>
          <t>$553,000</t>
        </is>
      </c>
      <c r="F75" s="7" t="n">
        <v>61</v>
      </c>
    </row>
    <row r="76" ht="15" customHeight="1" s="20">
      <c r="A76" s="4" t="inlineStr">
        <is>
          <t>Alexandria</t>
        </is>
      </c>
      <c r="B76" s="4" t="inlineStr">
        <is>
          <t>VA</t>
        </is>
      </c>
      <c r="C76" s="4" t="inlineStr">
        <is>
          <t>Historic / Urban / Waterfront</t>
        </is>
      </c>
      <c r="D76" s="4" t="inlineStr">
        <is>
          <t>$6,400–$7,900/mo</t>
        </is>
      </c>
      <c r="E76" s="4" t="inlineStr">
        <is>
          <t>$673,000</t>
        </is>
      </c>
      <c r="F76" s="7" t="n">
        <v>60</v>
      </c>
    </row>
    <row r="77" ht="15" customHeight="1" s="20">
      <c r="A77" s="13" t="inlineStr">
        <is>
          <t>Burlington</t>
        </is>
      </c>
      <c r="B77" s="4" t="inlineStr">
        <is>
          <t>VT</t>
        </is>
      </c>
      <c r="C77" s="4" t="inlineStr">
        <is>
          <t>College Town / Lakeside / Outdoor</t>
        </is>
      </c>
      <c r="D77" s="4" t="inlineStr">
        <is>
          <t>$6,000–$7,400/mo</t>
        </is>
      </c>
      <c r="E77" s="4" t="inlineStr">
        <is>
          <t>$506,000</t>
        </is>
      </c>
      <c r="F77" s="7" t="n">
        <v>60</v>
      </c>
    </row>
    <row r="78" ht="15" customHeight="1" s="20">
      <c r="A78" s="14" t="inlineStr">
        <is>
          <t>Wilmington</t>
        </is>
      </c>
      <c r="B78" s="14" t="inlineStr">
        <is>
          <t>DE</t>
        </is>
      </c>
      <c r="C78" s="14" t="inlineStr">
        <is>
          <t>Historic / Urban</t>
        </is>
      </c>
      <c r="D78" s="14" t="inlineStr">
        <is>
          <t>$6,500–$8,000/mo</t>
        </is>
      </c>
      <c r="E78" s="14" t="inlineStr">
        <is>
          <t>$430,000–$960,000</t>
        </is>
      </c>
      <c r="F78" s="15" t="n">
        <v>59</v>
      </c>
    </row>
    <row r="79" ht="15" customHeight="1" s="20">
      <c r="A79" s="4" t="inlineStr">
        <is>
          <t>Portland</t>
        </is>
      </c>
      <c r="B79" s="4" t="inlineStr">
        <is>
          <t>ME</t>
        </is>
      </c>
      <c r="C79" s="4" t="inlineStr">
        <is>
          <t>New England / Arts</t>
        </is>
      </c>
      <c r="D79" s="4" t="inlineStr">
        <is>
          <t>$5,900–$7,400/mo</t>
        </is>
      </c>
      <c r="E79" s="4" t="inlineStr">
        <is>
          <t>$576,000</t>
        </is>
      </c>
      <c r="F79" s="7" t="n">
        <v>59</v>
      </c>
    </row>
    <row r="80" ht="15" customHeight="1" s="20">
      <c r="A80" s="4" t="inlineStr">
        <is>
          <t>Pinehurst</t>
        </is>
      </c>
      <c r="B80" s="4" t="inlineStr">
        <is>
          <t>NC</t>
        </is>
      </c>
      <c r="C80" s="4" t="inlineStr">
        <is>
          <t>Resort / Golf</t>
        </is>
      </c>
      <c r="D80" s="4" t="inlineStr">
        <is>
          <t>$5,900–$7,300/mo</t>
        </is>
      </c>
      <c r="E80" s="4" t="inlineStr">
        <is>
          <t>$542,000</t>
        </is>
      </c>
      <c r="F80" s="7" t="n">
        <v>59</v>
      </c>
    </row>
    <row r="81" ht="15" customHeight="1" s="20">
      <c r="A81" s="4" t="inlineStr">
        <is>
          <t>Rehoboth Beach</t>
        </is>
      </c>
      <c r="B81" s="4" t="inlineStr">
        <is>
          <t>DE</t>
        </is>
      </c>
      <c r="C81" s="4" t="inlineStr">
        <is>
          <t>Beach Town / Resort</t>
        </is>
      </c>
      <c r="D81" s="4" t="inlineStr">
        <is>
          <t>$6,200–$7,700/mo</t>
        </is>
      </c>
      <c r="E81" s="4" t="inlineStr">
        <is>
          <t>$632,000</t>
        </is>
      </c>
      <c r="F81" s="7" t="n">
        <v>58</v>
      </c>
    </row>
    <row r="82" ht="15" customHeight="1" s="20">
      <c r="A82" s="4" t="inlineStr">
        <is>
          <t>Coeur d’Alène</t>
        </is>
      </c>
      <c r="B82" s="4" t="inlineStr">
        <is>
          <t>ID</t>
        </is>
      </c>
      <c r="C82" s="4" t="inlineStr">
        <is>
          <t>Lakeside Mountain</t>
        </is>
      </c>
      <c r="D82" s="4" t="inlineStr">
        <is>
          <t>$5,900–$7,400/mo</t>
        </is>
      </c>
      <c r="E82" s="4" t="inlineStr">
        <is>
          <t>$553,000</t>
        </is>
      </c>
      <c r="F82" s="7" t="n">
        <v>58</v>
      </c>
    </row>
    <row r="83" ht="15" customHeight="1" s="20">
      <c r="A83" s="4" t="inlineStr">
        <is>
          <t>Annapolis</t>
        </is>
      </c>
      <c r="B83" s="4" t="inlineStr">
        <is>
          <t>MD</t>
        </is>
      </c>
      <c r="C83" s="4" t="inlineStr">
        <is>
          <t>Historic / Waterfront</t>
        </is>
      </c>
      <c r="D83" s="4" t="inlineStr">
        <is>
          <t>$6,300–$7,800/mo</t>
        </is>
      </c>
      <c r="E83" s="4" t="inlineStr">
        <is>
          <t>$630,000</t>
        </is>
      </c>
      <c r="F83" s="7" t="n">
        <v>57</v>
      </c>
    </row>
    <row r="84" ht="15" customHeight="1" s="20">
      <c r="A84" s="4" t="inlineStr">
        <is>
          <t>Prescott</t>
        </is>
      </c>
      <c r="B84" s="4" t="inlineStr">
        <is>
          <t>AZ</t>
        </is>
      </c>
      <c r="C84" s="4" t="inlineStr">
        <is>
          <t>Mountain / Small Town</t>
        </is>
      </c>
      <c r="D84" s="4" t="inlineStr">
        <is>
          <t>$6,000–$7,400/mo</t>
        </is>
      </c>
      <c r="E84" s="4" t="inlineStr">
        <is>
          <t>$585,000</t>
        </is>
      </c>
      <c r="F84" s="7" t="n">
        <v>55</v>
      </c>
    </row>
    <row r="85" ht="15" customHeight="1" s="20">
      <c r="A85" s="4" t="inlineStr">
        <is>
          <t>Santa Fe</t>
        </is>
      </c>
      <c r="B85" s="4" t="inlineStr">
        <is>
          <t>NM</t>
        </is>
      </c>
      <c r="C85" s="4" t="inlineStr">
        <is>
          <t>Historic Arts Capital</t>
        </is>
      </c>
      <c r="D85" s="4" t="inlineStr">
        <is>
          <t>$6,000–$7,400/mo</t>
        </is>
      </c>
      <c r="E85" s="4" t="inlineStr">
        <is>
          <t>$571,000</t>
        </is>
      </c>
      <c r="F85" s="7" t="n">
        <v>55</v>
      </c>
    </row>
    <row r="86" ht="15" customHeight="1" s="20">
      <c r="A86" s="4" t="inlineStr">
        <is>
          <t>Silver Spring</t>
        </is>
      </c>
      <c r="B86" s="4" t="inlineStr">
        <is>
          <t>MD</t>
        </is>
      </c>
      <c r="C86" s="4" t="inlineStr">
        <is>
          <t>Urban / Walkable / DC Metro</t>
        </is>
      </c>
      <c r="D86" s="4" t="inlineStr">
        <is>
          <t>$5,900–$7,400/mo</t>
        </is>
      </c>
      <c r="E86" s="4" t="inlineStr">
        <is>
          <t>$526,000</t>
        </is>
      </c>
      <c r="F86" s="7" t="n">
        <v>54</v>
      </c>
    </row>
    <row r="87" ht="15" customHeight="1" s="20">
      <c r="A87" s="4" t="inlineStr">
        <is>
          <t>Saratoga Springs</t>
        </is>
      </c>
      <c r="B87" s="4" t="inlineStr">
        <is>
          <t>NY</t>
        </is>
      </c>
      <c r="C87" s="4" t="inlineStr">
        <is>
          <t>Historic / Arts</t>
        </is>
      </c>
      <c r="D87" s="4" t="inlineStr">
        <is>
          <t>$6,700–$8,300/mo</t>
        </is>
      </c>
      <c r="E87" s="4" t="inlineStr">
        <is>
          <t>$619,000</t>
        </is>
      </c>
      <c r="F87" s="7" t="n">
        <v>54</v>
      </c>
    </row>
    <row r="88" ht="15" customHeight="1" s="20">
      <c r="A88" s="4" t="inlineStr">
        <is>
          <t>Hilton Head</t>
        </is>
      </c>
      <c r="B88" s="4" t="inlineStr">
        <is>
          <t>SC</t>
        </is>
      </c>
      <c r="C88" s="4" t="inlineStr">
        <is>
          <t>Resort / Golf</t>
        </is>
      </c>
      <c r="D88" s="4" t="inlineStr">
        <is>
          <t>$6,600–$8,200/mo</t>
        </is>
      </c>
      <c r="E88" s="4" t="inlineStr">
        <is>
          <t>$705,000</t>
        </is>
      </c>
      <c r="F88" s="7" t="n">
        <v>54</v>
      </c>
    </row>
    <row r="89" ht="15" customHeight="1" s="20">
      <c r="A89" s="4" t="inlineStr">
        <is>
          <t>Flagstaff</t>
        </is>
      </c>
      <c r="B89" s="4" t="inlineStr">
        <is>
          <t>AZ</t>
        </is>
      </c>
      <c r="C89" s="4" t="inlineStr">
        <is>
          <t>Mountain / University</t>
        </is>
      </c>
      <c r="D89" s="4" t="inlineStr">
        <is>
          <t>$6,200–$7,700/mo</t>
        </is>
      </c>
      <c r="E89" s="4" t="inlineStr">
        <is>
          <t>$629,000</t>
        </is>
      </c>
      <c r="F89" s="7" t="n">
        <v>51</v>
      </c>
    </row>
    <row r="90" ht="15" customHeight="1" s="20">
      <c r="A90" s="4" t="inlineStr">
        <is>
          <t>Missoula</t>
        </is>
      </c>
      <c r="B90" s="4" t="inlineStr">
        <is>
          <t>MT</t>
        </is>
      </c>
      <c r="C90" s="4" t="inlineStr">
        <is>
          <t>Mountain / Arts &amp; College Town</t>
        </is>
      </c>
      <c r="D90" s="4" t="inlineStr">
        <is>
          <t>$6,000–$7,500/mo</t>
        </is>
      </c>
      <c r="E90" s="4" t="inlineStr">
        <is>
          <t>$548,000</t>
        </is>
      </c>
      <c r="F90" s="7" t="n">
        <v>50</v>
      </c>
    </row>
    <row r="91" ht="15" customHeight="1" s="20">
      <c r="A91" s="4" t="inlineStr">
        <is>
          <t>Palm Springs</t>
        </is>
      </c>
      <c r="B91" s="4" t="inlineStr">
        <is>
          <t>CA</t>
        </is>
      </c>
      <c r="C91" s="4" t="inlineStr">
        <is>
          <t>Desert / Resort</t>
        </is>
      </c>
      <c r="D91" s="4" t="inlineStr">
        <is>
          <t>$6,600–$8,200/mo</t>
        </is>
      </c>
      <c r="E91" s="4" t="inlineStr">
        <is>
          <t>$620,000</t>
        </is>
      </c>
      <c r="F91" s="7" t="n">
        <v>49</v>
      </c>
    </row>
    <row r="92" ht="15" customHeight="1" s="20">
      <c r="A92" s="7" t="n"/>
      <c r="B92" s="7" t="n"/>
      <c r="C92" s="7" t="n"/>
      <c r="D92" s="7" t="n"/>
      <c r="E92" s="7" t="n"/>
      <c r="F92" s="7" t="n"/>
    </row>
    <row r="93" ht="15" customHeight="1" s="20">
      <c r="A93" s="4" t="inlineStr">
        <is>
          <t>Range 4 — Premium ($7,500–$8,999/mo)</t>
        </is>
      </c>
      <c r="B93" s="7" t="n"/>
      <c r="C93" s="7" t="n"/>
      <c r="D93" s="7" t="n"/>
      <c r="E93" s="7" t="n"/>
      <c r="F93" s="7" t="n"/>
    </row>
    <row r="94" ht="15" customHeight="1" s="20">
      <c r="A94" s="13" t="inlineStr">
        <is>
          <t>City</t>
        </is>
      </c>
      <c r="B94" s="4" t="inlineStr">
        <is>
          <t>State</t>
        </is>
      </c>
      <c r="C94" s="4" t="inlineStr">
        <is>
          <t>Type</t>
        </is>
      </c>
      <c r="D94" s="4" t="inlineStr">
        <is>
          <t>Monthly Est</t>
        </is>
      </c>
      <c r="E94" s="4" t="inlineStr">
        <is>
          <t>Median Home</t>
        </is>
      </c>
      <c r="F94" s="4" t="inlineStr">
        <is>
          <t>Total Score</t>
        </is>
      </c>
    </row>
    <row r="95" ht="15" customHeight="1" s="20">
      <c r="A95" s="14" t="inlineStr">
        <is>
          <t>Boulder</t>
        </is>
      </c>
      <c r="B95" s="14" t="inlineStr">
        <is>
          <t>CO</t>
        </is>
      </c>
      <c r="C95" s="14" t="inlineStr">
        <is>
          <t>College Town / Mountain / Outdoor</t>
        </is>
      </c>
      <c r="D95" s="14" t="inlineStr">
        <is>
          <t>$8,000–$9,900/mo</t>
        </is>
      </c>
      <c r="E95" s="14" t="inlineStr">
        <is>
          <t>$964,000</t>
        </is>
      </c>
      <c r="F95" s="15" t="n">
        <v>67</v>
      </c>
    </row>
    <row r="96" ht="15" customHeight="1" s="20">
      <c r="A96" s="4" t="inlineStr">
        <is>
          <t>Scottsdale</t>
        </is>
      </c>
      <c r="B96" s="4" t="inlineStr">
        <is>
          <t>AZ</t>
        </is>
      </c>
      <c r="C96" s="4" t="inlineStr">
        <is>
          <t>Desert / Resort</t>
        </is>
      </c>
      <c r="D96" s="4" t="inlineStr">
        <is>
          <t>$7,300–$9,100/mo</t>
        </is>
      </c>
      <c r="E96" s="4" t="inlineStr">
        <is>
          <t>$833,000</t>
        </is>
      </c>
      <c r="F96" s="7" t="n">
        <v>66</v>
      </c>
    </row>
    <row r="97" ht="15" customHeight="1" s="20">
      <c r="A97" s="4" t="inlineStr">
        <is>
          <t>Bend</t>
        </is>
      </c>
      <c r="B97" s="4" t="inlineStr">
        <is>
          <t>OR</t>
        </is>
      </c>
      <c r="C97" s="4" t="inlineStr">
        <is>
          <t>Outdoor / Growing</t>
        </is>
      </c>
      <c r="D97" s="4" t="inlineStr">
        <is>
          <t>$6,900–$8,500/mo</t>
        </is>
      </c>
      <c r="E97" s="4" t="inlineStr">
        <is>
          <t>$726,000</t>
        </is>
      </c>
      <c r="F97" s="7" t="n">
        <v>63</v>
      </c>
    </row>
    <row r="98" ht="15" customHeight="1" s="20">
      <c r="A98" s="4" t="inlineStr">
        <is>
          <t>Frisco</t>
        </is>
      </c>
      <c r="B98" s="4" t="inlineStr">
        <is>
          <t>TX</t>
        </is>
      </c>
      <c r="C98" s="4" t="inlineStr">
        <is>
          <t>Master-Planned Suburb</t>
        </is>
      </c>
      <c r="D98" s="4" t="inlineStr">
        <is>
          <t>$7,200–$8,900/mo</t>
        </is>
      </c>
      <c r="E98" s="4" t="inlineStr">
        <is>
          <t>$674,000</t>
        </is>
      </c>
      <c r="F98" s="7" t="n">
        <v>59</v>
      </c>
    </row>
    <row r="99" ht="15" customHeight="1" s="20">
      <c r="A99" s="4" t="inlineStr">
        <is>
          <t>Whitefish</t>
        </is>
      </c>
      <c r="B99" s="4" t="inlineStr">
        <is>
          <t>MT</t>
        </is>
      </c>
      <c r="C99" s="4" t="inlineStr">
        <is>
          <t>Mountain Resort</t>
        </is>
      </c>
      <c r="D99" s="4" t="inlineStr">
        <is>
          <t>$7,400–$9,200/mo</t>
        </is>
      </c>
      <c r="E99" s="4" t="inlineStr">
        <is>
          <t>$847,000</t>
        </is>
      </c>
      <c r="F99" s="7" t="n">
        <v>57</v>
      </c>
    </row>
    <row r="100" ht="15" customHeight="1" s="20">
      <c r="A100" s="4" t="inlineStr">
        <is>
          <t>Bozeman</t>
        </is>
      </c>
      <c r="B100" s="4" t="inlineStr">
        <is>
          <t>MT</t>
        </is>
      </c>
      <c r="C100" s="4" t="inlineStr">
        <is>
          <t>Mountain / College Town</t>
        </is>
      </c>
      <c r="D100" s="4" t="inlineStr">
        <is>
          <t>$6,900–$8,600/mo</t>
        </is>
      </c>
      <c r="E100" s="4" t="inlineStr">
        <is>
          <t>$740,000</t>
        </is>
      </c>
      <c r="F100" s="7" t="n">
        <v>56</v>
      </c>
    </row>
    <row r="101" ht="15" customHeight="1" s="20">
      <c r="A101" s="4" t="inlineStr">
        <is>
          <t>Provincetown</t>
        </is>
      </c>
      <c r="B101" s="4" t="inlineStr">
        <is>
          <t>MA</t>
        </is>
      </c>
      <c r="C101" s="4" t="inlineStr">
        <is>
          <t>Coastal Resort / Arts Colony</t>
        </is>
      </c>
      <c r="D101" s="4" t="inlineStr">
        <is>
          <t>$8,000–$10,000/mo</t>
        </is>
      </c>
      <c r="E101" s="4" t="inlineStr">
        <is>
          <t>$924,000</t>
        </is>
      </c>
      <c r="F101" s="7" t="n">
        <v>54</v>
      </c>
    </row>
    <row r="102" ht="15" customHeight="1" s="20">
      <c r="A102" s="4" t="inlineStr">
        <is>
          <t>Durango</t>
        </is>
      </c>
      <c r="B102" s="4" t="inlineStr">
        <is>
          <t>CO</t>
        </is>
      </c>
      <c r="C102" s="4" t="inlineStr">
        <is>
          <t>Mountain / Historic Railroad Town</t>
        </is>
      </c>
      <c r="D102" s="4" t="inlineStr">
        <is>
          <t>$7,000–$8,700/mo</t>
        </is>
      </c>
      <c r="E102" s="4" t="inlineStr">
        <is>
          <t>$704,000</t>
        </is>
      </c>
      <c r="F102" s="7" t="n">
        <v>53</v>
      </c>
    </row>
    <row r="103" ht="15" customHeight="1" s="20">
      <c r="A103" s="4" t="inlineStr">
        <is>
          <t>Sedona</t>
        </is>
      </c>
      <c r="B103" s="4" t="inlineStr">
        <is>
          <t>AZ</t>
        </is>
      </c>
      <c r="C103" s="4" t="inlineStr">
        <is>
          <t>Desert / Arts &amp; Wellness Retreat</t>
        </is>
      </c>
      <c r="D103" s="4" t="inlineStr">
        <is>
          <t>$7,700–$9,500/mo</t>
        </is>
      </c>
      <c r="E103" s="4" t="inlineStr">
        <is>
          <t>$896,000</t>
        </is>
      </c>
      <c r="F103" s="7" t="n">
        <v>51</v>
      </c>
    </row>
    <row r="104" ht="13.55" customHeight="1" s="20">
      <c r="A104" s="4" t="inlineStr">
        <is>
          <t>Napa</t>
        </is>
      </c>
      <c r="B104" s="4" t="inlineStr">
        <is>
          <t>CA</t>
        </is>
      </c>
      <c r="C104" s="4" t="inlineStr">
        <is>
          <t>Wine Country</t>
        </is>
      </c>
      <c r="D104" s="4" t="inlineStr">
        <is>
          <t>$7,900–$9,900/mo</t>
        </is>
      </c>
      <c r="E104" s="4" t="inlineStr">
        <is>
          <t>$896,000</t>
        </is>
      </c>
      <c r="F104" s="7" t="n">
        <v>49</v>
      </c>
    </row>
    <row r="105" ht="13.55" customHeight="1" s="20">
      <c r="A105" s="7" t="n"/>
      <c r="B105" s="7" t="n"/>
      <c r="C105" s="7" t="n"/>
      <c r="D105" s="7" t="n"/>
      <c r="E105" s="7" t="n"/>
      <c r="F105" s="7" t="n"/>
    </row>
    <row r="106" ht="13.55" customHeight="1" s="20">
      <c r="A106" s="4" t="inlineStr">
        <is>
          <t>Range 5 — Luxury ($9,000+/mo)</t>
        </is>
      </c>
      <c r="B106" s="7" t="n"/>
      <c r="C106" s="7" t="n"/>
      <c r="D106" s="7" t="n"/>
      <c r="E106" s="7" t="n"/>
      <c r="F106" s="7" t="n"/>
    </row>
    <row r="107" ht="13.55" customHeight="1" s="20">
      <c r="A107" s="4" t="inlineStr">
        <is>
          <t>City</t>
        </is>
      </c>
      <c r="B107" s="4" t="inlineStr">
        <is>
          <t>State</t>
        </is>
      </c>
      <c r="C107" s="4" t="inlineStr">
        <is>
          <t>Type</t>
        </is>
      </c>
      <c r="D107" s="4" t="inlineStr">
        <is>
          <t>Monthly Est</t>
        </is>
      </c>
      <c r="E107" s="4" t="inlineStr">
        <is>
          <t>Median Home</t>
        </is>
      </c>
      <c r="F107" s="4" t="inlineStr">
        <is>
          <t>Total Score</t>
        </is>
      </c>
    </row>
    <row r="108" ht="13.55" customHeight="1" s="20">
      <c r="A108" s="4" t="inlineStr">
        <is>
          <t>Jackson Hole</t>
        </is>
      </c>
      <c r="B108" s="4" t="inlineStr">
        <is>
          <t>WY</t>
        </is>
      </c>
      <c r="C108" s="4" t="inlineStr">
        <is>
          <t>Mountain / Luxury</t>
        </is>
      </c>
      <c r="D108" s="4" t="inlineStr">
        <is>
          <t>$12,200–$15,200/mo</t>
        </is>
      </c>
      <c r="E108" s="4" t="inlineStr">
        <is>
          <t>$1,851,000</t>
        </is>
      </c>
      <c r="F108" s="7" t="n">
        <v>62</v>
      </c>
    </row>
    <row r="109" ht="13.55" customHeight="1" s="20">
      <c r="A109" s="4" t="inlineStr">
        <is>
          <t>Vail</t>
        </is>
      </c>
      <c r="B109" s="4" t="inlineStr">
        <is>
          <t>CO</t>
        </is>
      </c>
      <c r="C109" s="4" t="inlineStr">
        <is>
          <t>Mountain Luxury</t>
        </is>
      </c>
      <c r="D109" s="4" t="inlineStr">
        <is>
          <t>$11,400–$14,200/mo</t>
        </is>
      </c>
      <c r="E109" s="4" t="inlineStr">
        <is>
          <t>$1,627,000</t>
        </is>
      </c>
      <c r="F109" s="7" t="n">
        <v>59</v>
      </c>
    </row>
    <row r="110" ht="13.55" customHeight="1" s="20">
      <c r="A110" s="4" t="inlineStr">
        <is>
          <t>Park City</t>
        </is>
      </c>
      <c r="B110" s="4" t="inlineStr">
        <is>
          <t>UT</t>
        </is>
      </c>
      <c r="C110" s="4" t="inlineStr">
        <is>
          <t>Mountain / Resort Town</t>
        </is>
      </c>
      <c r="D110" s="4" t="inlineStr">
        <is>
          <t>$10,600–$13,200/mo</t>
        </is>
      </c>
      <c r="E110" s="4" t="inlineStr">
        <is>
          <t>$1,522,000</t>
        </is>
      </c>
      <c r="F110" s="7" t="n">
        <v>59</v>
      </c>
    </row>
    <row r="111" ht="13.55" customHeight="1" s="20">
      <c r="A111" s="4" t="inlineStr">
        <is>
          <t>Santa Barbara</t>
        </is>
      </c>
      <c r="B111" s="4" t="inlineStr">
        <is>
          <t>CA</t>
        </is>
      </c>
      <c r="C111" s="4" t="inlineStr">
        <is>
          <t>Beach / Luxury</t>
        </is>
      </c>
      <c r="D111" s="4" t="inlineStr">
        <is>
          <t>$12,000–$14,900/mo</t>
        </is>
      </c>
      <c r="E111" s="4" t="inlineStr">
        <is>
          <t>$1,733,000</t>
        </is>
      </c>
      <c r="F111" s="7" t="n">
        <v>57</v>
      </c>
    </row>
    <row r="112" ht="13.55" customHeight="1" s="20">
      <c r="A112" s="4" t="inlineStr">
        <is>
          <t>Sun Valley</t>
        </is>
      </c>
      <c r="B112" s="4" t="inlineStr">
        <is>
          <t>ID</t>
        </is>
      </c>
      <c r="C112" s="4" t="inlineStr">
        <is>
          <t>Mountain Resort</t>
        </is>
      </c>
      <c r="D112" s="4" t="inlineStr">
        <is>
          <t>$8,600–$10,700/mo</t>
        </is>
      </c>
      <c r="E112" s="4" t="inlineStr">
        <is>
          <t>$1,114,000</t>
        </is>
      </c>
      <c r="F112" s="7" t="n">
        <v>56</v>
      </c>
    </row>
    <row r="113" ht="13.55" customHeight="1" s="20">
      <c r="A113" s="4" t="inlineStr">
        <is>
          <t>Carmel-by-the-Sea</t>
        </is>
      </c>
      <c r="B113" s="4" t="inlineStr">
        <is>
          <t>CA</t>
        </is>
      </c>
      <c r="C113" s="4" t="inlineStr">
        <is>
          <t>Coastal Luxury</t>
        </is>
      </c>
      <c r="D113" s="4" t="inlineStr">
        <is>
          <t>$14,800–$18,400/mo</t>
        </is>
      </c>
      <c r="E113" s="4" t="inlineStr">
        <is>
          <t>$2,281,000</t>
        </is>
      </c>
      <c r="F113" s="7" t="n">
        <v>54</v>
      </c>
    </row>
    <row r="114" ht="13.55" customHeight="1" s="20">
      <c r="A114" s="4" t="inlineStr">
        <is>
          <t>Steamboat Springs</t>
        </is>
      </c>
      <c r="B114" s="4" t="inlineStr">
        <is>
          <t>CO</t>
        </is>
      </c>
      <c r="C114" s="4" t="inlineStr">
        <is>
          <t>Mountain Resort</t>
        </is>
      </c>
      <c r="D114" s="4" t="inlineStr">
        <is>
          <t>$9,100–$11,300/mo</t>
        </is>
      </c>
      <c r="E114" s="4" t="inlineStr">
        <is>
          <t>$1,138,000</t>
        </is>
      </c>
      <c r="F114" s="7" t="n">
        <v>52</v>
      </c>
    </row>
    <row r="115" ht="13.55" customHeight="1" s="20">
      <c r="A115" s="4" t="inlineStr">
        <is>
          <t>Carlsbad</t>
        </is>
      </c>
      <c r="B115" s="4" t="inlineStr">
        <is>
          <t>CA</t>
        </is>
      </c>
      <c r="C115" s="4" t="inlineStr">
        <is>
          <t>Beach Town</t>
        </is>
      </c>
      <c r="D115" s="4" t="inlineStr">
        <is>
          <t>$10,900–$13,600/mo</t>
        </is>
      </c>
      <c r="E115" s="4" t="inlineStr">
        <is>
          <t>$1,481,000</t>
        </is>
      </c>
      <c r="F115" s="7" t="n">
        <v>51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0" customWidth="1" style="18" min="1" max="1"/>
    <col width="6" customWidth="1" style="18" min="2" max="2"/>
    <col width="14" customWidth="1" style="18" min="3" max="3"/>
    <col width="18" customWidth="1" style="18" min="4" max="4"/>
    <col width="22" customWidth="1" style="18" min="5" max="5"/>
    <col width="12" customWidth="1" style="18" min="6" max="6"/>
    <col width="40" customWidth="1" style="18" min="7" max="7"/>
    <col width="8.67188" customWidth="1" style="18" min="8" max="16384"/>
  </cols>
  <sheetData>
    <row r="1" ht="17.25" customHeight="1" s="20">
      <c r="A1" s="3" t="inlineStr">
        <is>
          <t>RetireMeHere — City Scoring Log (track cities being researched)</t>
        </is>
      </c>
      <c r="B1" s="7" t="n"/>
      <c r="C1" s="7" t="n"/>
      <c r="D1" s="7" t="n"/>
      <c r="E1" s="7" t="n"/>
      <c r="F1" s="7" t="n"/>
      <c r="G1" s="7" t="n"/>
    </row>
    <row r="2" ht="15" customHeight="1" s="20">
      <c r="A2" s="14" t="inlineStr">
        <is>
          <t>City</t>
        </is>
      </c>
      <c r="B2" s="14" t="inlineStr">
        <is>
          <t>State</t>
        </is>
      </c>
      <c r="C2" s="14" t="inlineStr">
        <is>
          <t>Budget Range</t>
        </is>
      </c>
      <c r="D2" s="14" t="inlineStr">
        <is>
          <t>Median Home</t>
        </is>
      </c>
      <c r="E2" s="14" t="inlineStr">
        <is>
          <t>Monthly Est</t>
        </is>
      </c>
      <c r="F2" s="14" t="inlineStr">
        <is>
          <t>Date Added</t>
        </is>
      </c>
      <c r="G2" s="14" t="inlineStr">
        <is>
          <t>Notes</t>
        </is>
      </c>
    </row>
    <row r="3" ht="13.55" customHeight="1" s="20">
      <c r="A3" s="7" t="n"/>
      <c r="B3" s="7" t="n"/>
      <c r="C3" s="7" t="n"/>
      <c r="D3" s="7" t="n"/>
      <c r="E3" s="7" t="n"/>
      <c r="F3" s="7" t="n"/>
      <c r="G3" s="7" t="n"/>
    </row>
    <row r="4" ht="13.55" customHeight="1" s="20">
      <c r="A4" s="7" t="n"/>
      <c r="B4" s="7" t="n"/>
      <c r="C4" s="7" t="n"/>
      <c r="D4" s="7" t="n"/>
      <c r="E4" s="7" t="n"/>
      <c r="F4" s="7" t="n"/>
      <c r="G4" s="7" t="n"/>
    </row>
    <row r="5" ht="13.55" customHeight="1" s="20">
      <c r="A5" s="7" t="n"/>
      <c r="B5" s="7" t="n"/>
      <c r="C5" s="7" t="n"/>
      <c r="D5" s="7" t="n"/>
      <c r="E5" s="7" t="n"/>
      <c r="F5" s="7" t="n"/>
      <c r="G5" s="7" t="n"/>
    </row>
    <row r="6" ht="13.55" customHeight="1" s="20">
      <c r="A6" s="7" t="n"/>
      <c r="B6" s="7" t="n"/>
      <c r="C6" s="7" t="n"/>
      <c r="D6" s="7" t="n"/>
      <c r="E6" s="7" t="n"/>
      <c r="F6" s="7" t="n"/>
      <c r="G6" s="7" t="n"/>
    </row>
    <row r="7" ht="13.55" customHeight="1" s="20">
      <c r="A7" s="7" t="n"/>
      <c r="B7" s="7" t="n"/>
      <c r="C7" s="7" t="n"/>
      <c r="D7" s="7" t="n"/>
      <c r="E7" s="7" t="n"/>
      <c r="F7" s="7" t="n"/>
      <c r="G7" s="7" t="n"/>
    </row>
    <row r="8" ht="13.55" customHeight="1" s="20">
      <c r="A8" s="7" t="n"/>
      <c r="B8" s="7" t="n"/>
      <c r="C8" s="7" t="n"/>
      <c r="D8" s="7" t="n"/>
      <c r="E8" s="7" t="n"/>
      <c r="F8" s="7" t="n"/>
      <c r="G8" s="7" t="n"/>
    </row>
    <row r="9" ht="13.55" customHeight="1" s="20">
      <c r="A9" s="7" t="n"/>
      <c r="B9" s="7" t="n"/>
      <c r="C9" s="7" t="n"/>
      <c r="D9" s="7" t="n"/>
      <c r="E9" s="7" t="n"/>
      <c r="F9" s="7" t="n"/>
      <c r="G9" s="7" t="n"/>
    </row>
    <row r="10" ht="13.55" customHeight="1" s="20">
      <c r="A10" s="7" t="n"/>
      <c r="B10" s="7" t="n"/>
      <c r="C10" s="7" t="n"/>
      <c r="D10" s="7" t="n"/>
      <c r="E10" s="7" t="n"/>
      <c r="F10" s="7" t="n"/>
      <c r="G10" s="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.67188" customWidth="1" style="18" min="1" max="27"/>
    <col width="8.67188" customWidth="1" style="18" min="28" max="16384"/>
  </cols>
  <sheetData>
    <row r="1" ht="15" customHeight="1" s="20">
      <c r="A1" s="10" t="inlineStr">
        <is>
          <t>RetireMeHere — Parked Cities (retained scoring for later build-out)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3.55" customHeight="1" s="20">
      <c r="A2" s="9" t="n"/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</row>
    <row r="3" ht="27.75" customHeight="1" s="20">
      <c r="A3" s="10" t="inlineStr">
        <is>
          <t>#</t>
        </is>
      </c>
      <c r="B3" s="10" t="inlineStr">
        <is>
          <t>City</t>
        </is>
      </c>
      <c r="C3" s="10" t="inlineStr">
        <is>
          <t>ST</t>
        </is>
      </c>
      <c r="D3" s="10" t="inlineStr">
        <is>
          <t>Type</t>
        </is>
      </c>
      <c r="E3" s="19" t="inlineStr">
        <is>
          <t>Budget
Range</t>
        </is>
      </c>
      <c r="F3" s="10" t="inlineStr">
        <is>
          <t>Monthly Est</t>
        </is>
      </c>
      <c r="G3" s="10" t="inlineStr">
        <is>
          <t>Median Home</t>
        </is>
      </c>
      <c r="H3" s="19" t="inlineStr">
        <is>
          <t>D1
Airport</t>
        </is>
      </c>
      <c r="I3" s="19" t="inlineStr">
        <is>
          <t>D2
Budget</t>
        </is>
      </c>
      <c r="J3" s="19" t="inlineStr">
        <is>
          <t>D3
Health</t>
        </is>
      </c>
      <c r="K3" s="19" t="inlineStr">
        <is>
          <t>D5
Tax</t>
        </is>
      </c>
      <c r="L3" s="19" t="inlineStr">
        <is>
          <t>D6
Walk</t>
        </is>
      </c>
      <c r="M3" s="19" t="inlineStr">
        <is>
          <t>D7
Outdoor</t>
        </is>
      </c>
      <c r="N3" s="19" t="inlineStr">
        <is>
          <t>D8
Wellness</t>
        </is>
      </c>
      <c r="O3" s="19" t="inlineStr">
        <is>
          <t>D9
Safety</t>
        </is>
      </c>
      <c r="P3" s="19" t="inlineStr">
        <is>
          <t>D10
Comm.</t>
        </is>
      </c>
      <c r="Q3" s="19" t="inlineStr">
        <is>
          <t>Climate
Warm W</t>
        </is>
      </c>
      <c r="R3" s="19" t="inlineStr">
        <is>
          <t>Climate
Hot Sum</t>
        </is>
      </c>
      <c r="S3" s="19" t="inlineStr">
        <is>
          <t>Climate
Mild YR</t>
        </is>
      </c>
      <c r="T3" s="10" t="inlineStr">
        <is>
          <t>Setting</t>
        </is>
      </c>
      <c r="U3" s="10" t="inlineStr">
        <is>
          <t>Character</t>
        </is>
      </c>
      <c r="V3" s="10" t="inlineStr">
        <is>
          <t>Highlight</t>
        </is>
      </c>
      <c r="W3" s="19" t="inlineStr">
        <is>
          <t>HUM
(0-10)</t>
        </is>
      </c>
      <c r="X3" s="19" t="inlineStr">
        <is>
          <t>HEAT
(0-10)</t>
        </is>
      </c>
      <c r="Y3" s="19" t="inlineStr">
        <is>
          <t>PropTax
Rate %</t>
        </is>
      </c>
      <c r="Z3" s="19" t="inlineStr">
        <is>
          <t>HO Insur
Est $/yr</t>
        </is>
      </c>
      <c r="AA3" s="19" t="inlineStr">
        <is>
          <t>Ins
Variance Note</t>
        </is>
      </c>
    </row>
    <row r="4" ht="15" customHeight="1" s="20">
      <c r="A4" s="9" t="n">
        <v>77</v>
      </c>
      <c r="B4" s="10" t="inlineStr">
        <is>
          <t>The Woodlands</t>
        </is>
      </c>
      <c r="C4" s="10" t="inlineStr">
        <is>
          <t>TX</t>
        </is>
      </c>
      <c r="D4" s="10" t="inlineStr">
        <is>
          <t>Master-Planned Community</t>
        </is>
      </c>
      <c r="E4" s="9" t="n">
        <v>4</v>
      </c>
      <c r="F4" s="10" t="inlineStr">
        <is>
          <t>$5,500–$7,500/mo</t>
        </is>
      </c>
      <c r="G4" s="10" t="inlineStr">
        <is>
          <t>$474,000</t>
        </is>
      </c>
      <c r="H4" s="9" t="n">
        <v>8</v>
      </c>
      <c r="I4" s="9" t="n">
        <v>5</v>
      </c>
      <c r="J4" s="9" t="n">
        <v>9</v>
      </c>
      <c r="K4" s="9" t="n">
        <v>9</v>
      </c>
      <c r="L4" s="9" t="n">
        <v>6</v>
      </c>
      <c r="M4" s="9" t="n">
        <v>7</v>
      </c>
      <c r="N4" s="9" t="n">
        <v>7</v>
      </c>
      <c r="O4" s="9" t="n">
        <v>8</v>
      </c>
      <c r="P4" s="9" t="n">
        <v>7</v>
      </c>
      <c r="Q4" s="9" t="n">
        <v>6</v>
      </c>
      <c r="R4" s="9" t="n">
        <v>9</v>
      </c>
      <c r="S4" s="9" t="n">
        <v>6</v>
      </c>
      <c r="T4" s="10" t="inlineStr">
        <is>
          <t>Forest / Green, Lakeside</t>
        </is>
      </c>
      <c r="U4" s="10" t="inlineStr">
        <is>
          <t>Nature-Centric, Arts &amp; Culture</t>
        </is>
      </c>
      <c r="V4" s="10" t="inlineStr">
        <is>
          <t>Ranked #4 US News Best Places to Retire 2026 — The Woodlands is one of America’s most successful master-planned communities with 220 miles of trails, no Texas income tax, and 40-minute access to the world’s largest medical complex.</t>
        </is>
      </c>
      <c r="W4" s="9" t="n">
        <v>9</v>
      </c>
      <c r="X4" s="9" t="n">
        <v>8</v>
      </c>
      <c r="Y4" s="9" t="n">
        <v>1.4</v>
      </c>
      <c r="Z4" s="9" t="n">
        <v>4085</v>
      </c>
      <c r="AA4" s="10" t="inlineStr">
        <is>
          <t>Gulf coast far above state avg</t>
        </is>
      </c>
    </row>
    <row r="5" ht="13.55" customHeight="1" s="20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</row>
    <row r="6" ht="15" customHeight="1" s="20">
      <c r="A6" s="10" t="inlineStr">
        <is>
          <t>Note: The Woodlands parked 2026-06-06 — master-planned communities category sequenced later per ROADMAP.md. Scores retained as of v12 (April 2026); re-verify before activation.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</row>
    <row r="7" ht="13.55" customHeight="1" s="20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</row>
    <row r="8" ht="13.55" customHeight="1" s="20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</row>
    <row r="9" ht="13.55" customHeight="1" s="20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</row>
    <row r="10" ht="13.55" customHeight="1" s="2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2026-07-13T12:43:07Z</dcterms:created>
  <dcterms:modified xmlns:dcterms="http://purl.org/dc/terms/" xmlns:xsi="http://www.w3.org/2001/XMLSchema-instance" xsi:type="dcterms:W3CDTF">2026-07-27T13:54:45Z</dcterms:modified>
</cp:coreProperties>
</file>