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ity Database" sheetId="1" r:id="rId5"/>
    <sheet name="Scores by Dimension" sheetId="2" r:id="rId6"/>
    <sheet name="Budget Tiers" sheetId="3" r:id="rId7"/>
    <sheet name="New Cities to Add" sheetId="4" r:id="rId8"/>
    <sheet name="Parked — Future Build" sheetId="5" r:id="rId9"/>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<sst xmlns="http://schemas.openxmlformats.org/spreadsheetml/2006/main" uniqueCount="788">
  <si>
    <t>RetireMeHere — City Database (June 2026, v3.3 — 100 cities)</t>
  </si>
  <si>
    <t>Median Home source: Zillow ZHVI (City geography, All Homes SFR+Condo, Smoothed &amp; Seasonally Adjusted), snapshot 2026-04-30 — except 8 high-variance cities (Indianapolis, Memphis, Philadelphia, Pittsburgh, San Antonio, St. Louis, St. Paul, Wilmington DE) which use retiree-target neighborhood basis per Scoring Rubric v3.2 Universal Methodology.</t>
  </si>
  <si>
    <t>#</t>
  </si>
  <si>
    <t>City</t>
  </si>
  <si>
    <t>ST</t>
  </si>
  <si>
    <t>Type</t>
  </si>
  <si>
    <t>Budget
Range</t>
  </si>
  <si>
    <t>Monthly Est</t>
  </si>
  <si>
    <t>Median Home</t>
  </si>
  <si>
    <t>D1
Airport</t>
  </si>
  <si>
    <t>D2
Budget</t>
  </si>
  <si>
    <t>D3
Health</t>
  </si>
  <si>
    <t>D5
Tax</t>
  </si>
  <si>
    <t>D6
Walk</t>
  </si>
  <si>
    <t>D7
Outdoor</t>
  </si>
  <si>
    <t>D8
Wellness</t>
  </si>
  <si>
    <t>D9
Safety</t>
  </si>
  <si>
    <t>D10
Comm.</t>
  </si>
  <si>
    <t>Climate
Warm W</t>
  </si>
  <si>
    <t>Climate
Hot Sum</t>
  </si>
  <si>
    <t>Climate
Mild YR</t>
  </si>
  <si>
    <t>Setting</t>
  </si>
  <si>
    <t>Character</t>
  </si>
  <si>
    <t>Highlight</t>
  </si>
  <si>
    <t>HUM
(0-10)</t>
  </si>
  <si>
    <t>HEAT
(0-10)</t>
  </si>
  <si>
    <t>PropTax
Rate %</t>
  </si>
  <si>
    <t>HO Insur
Est $/yr</t>
  </si>
  <si>
    <t>Ins
Variance Note</t>
  </si>
  <si>
    <t>D4
Resil.</t>
  </si>
  <si>
    <t>D4 Resil.
Rationale</t>
  </si>
  <si>
    <t>Fairhope</t>
  </si>
  <si>
    <t>AL</t>
  </si>
  <si>
    <t>Small Town / Coastal</t>
  </si>
  <si>
    <t>$5,200–$6,500/mo</t>
  </si>
  <si>
    <t>$461,000</t>
  </si>
  <si>
    <t>Beach / Coastal, Lakeside</t>
  </si>
  <si>
    <t>Historic, Quiet &amp; Residential, Arts &amp; Culture</t>
  </si>
  <si>
    <t>One of the most charming small towns in the South. Mobile Bay access, bluff views, independent arts scene. Strong community identity.</t>
  </si>
  <si>
    <t>Gulf Coast (Mobile Bay) hurricane + storm surge</t>
  </si>
  <si>
    <t>Fayetteville</t>
  </si>
  <si>
    <t>AR</t>
  </si>
  <si>
    <t>College / Outdoor</t>
  </si>
  <si>
    <t>$4,700–$5,800/mo</t>
  </si>
  <si>
    <t>$339,000</t>
  </si>
  <si>
    <t>Lakeside</t>
  </si>
  <si>
    <t>College Town, Arts &amp; Culture, Nature-Centric</t>
  </si>
  <si>
    <t>Fastest growing city in Arkansas. University of Arkansas energy. Washington Regional Medical excellent. Ozark trails. Best value college town in the database.</t>
  </si>
  <si>
    <t>Ozarks; tornado/severe-storm season, no defining catastrophic peril</t>
  </si>
  <si>
    <t>Hot Springs</t>
  </si>
  <si>
    <t>Spa / Resort Town</t>
  </si>
  <si>
    <t>$4,300–$5,300/mo</t>
  </si>
  <si>
    <t>$238,000</t>
  </si>
  <si>
    <t>Lakeside, Mountain</t>
  </si>
  <si>
    <t>Arts &amp; Culture, Historic, Nature-Centric</t>
  </si>
  <si>
    <t>The only city in America with a national park running through its downtown — Hot Springs offers natural hot springs, Oaklawn horse racing, lake recreation, and a genuine historic resort character at prices well below the national average.</t>
  </si>
  <si>
    <t>Severe storms + localized flooding; insurance stable</t>
  </si>
  <si>
    <t>Flagstaff</t>
  </si>
  <si>
    <t>AZ</t>
  </si>
  <si>
    <t>Mountain / University</t>
  </si>
  <si>
    <t>$6,200–$7,700/mo</t>
  </si>
  <si>
    <t>$629,000</t>
  </si>
  <si>
    <t>Mountain, Desert</t>
  </si>
  <si>
    <t>Historic, Arts &amp; Culture, Nature-Centric</t>
  </si>
  <si>
    <t>7,000 ft elevation means mild summers (77°F) while Scottsdale bakes. Grand Canyon 1 hour. Outdoor paradise with Northern Arizona University energy.</t>
  </si>
  <si>
    <t>High-country wildfire + post-fire flash flooding; no extreme heat</t>
  </si>
  <si>
    <t>Prescott</t>
  </si>
  <si>
    <t>Mountain / Small Town</t>
  </si>
  <si>
    <t>$6,000–$7,400/mo</t>
  </si>
  <si>
    <t>$585,000</t>
  </si>
  <si>
    <t>Forest / Green</t>
  </si>
  <si>
    <t>Historic, Nature-Centric</t>
  </si>
  <si>
    <t>Perfect 10 community. Courthouse Plaza walkable. Mile-high elevation means mild summers. Sedona 40 min. Strong retiree community. Airport access is the weakness.</t>
  </si>
  <si>
    <t>Wildfire-prone (Yarnell), milder heat than the valley</t>
  </si>
  <si>
    <t>Scottsdale</t>
  </si>
  <si>
    <t>Desert / Resort</t>
  </si>
  <si>
    <t>$7,300–$9,100/mo</t>
  </si>
  <si>
    <t>$833,000</t>
  </si>
  <si>
    <t>Desert</t>
  </si>
  <si>
    <t>Resort / Golf, Quiet &amp; Residential</t>
  </si>
  <si>
    <t>Mayo Clinic Arizona — top 5 hospital nationally. PHX Sky Harbor 30 min. 300+ sunny days. Pickleball capital. The premier desert resort retirement destination.</t>
  </si>
  <si>
    <t>Extreme summer heat + long-term Colorado River water scarcity</t>
  </si>
  <si>
    <t>Sedona</t>
  </si>
  <si>
    <t>Desert / Arts &amp; Wellness Retreat</t>
  </si>
  <si>
    <t>$7,700–$9,500/mo</t>
  </si>
  <si>
    <t>$896,000</t>
  </si>
  <si>
    <t>Resort / Golf, Quiet &amp; Residential, Arts &amp; Culture, Nature-Centric</t>
  </si>
  <si>
    <t>The only warm-winter mountain city in this group — pairing Arizona's retiree-friendly tax structure, world-class wellness culture, and red-rock beauty with mild January days of 58°F.</t>
  </si>
  <si>
    <t>Wildfire + flash flooding + heat</t>
  </si>
  <si>
    <t>Tucson</t>
  </si>
  <si>
    <t>Desert / University</t>
  </si>
  <si>
    <t>$4,900–$6,100/mo</t>
  </si>
  <si>
    <t>$333,000</t>
  </si>
  <si>
    <t>Historic, College Town, Arts &amp; Culture</t>
  </si>
  <si>
    <t>University of Arizona anchors a vibrant cultural scene. Saguaro National Park. More affordable than Scottsdale. Strong healthcare with Banner University Medical.</t>
  </si>
  <si>
    <t>Extreme heat + water scarcity</t>
  </si>
  <si>
    <t>Carlsbad</t>
  </si>
  <si>
    <t>CA</t>
  </si>
  <si>
    <t>Beach Town</t>
  </si>
  <si>
    <t>$10,900–$13,600/mo</t>
  </si>
  <si>
    <t>$1,481,000</t>
  </si>
  <si>
    <t>Beach / Coastal</t>
  </si>
  <si>
    <t>Quiet &amp; Residential</t>
  </si>
  <si>
    <t>Perfect 10 climate — San Diego County near-perfect year-round weather. Beautiful Pacific beaches. Excellent healthcare network. Extremely expensive.</t>
  </si>
  <si>
    <t>Wildfire zones above avg; Prop 13 favors long-term owners</t>
  </si>
  <si>
    <t>Coastal San Diego, lower fire, but statewide CA insurance stress</t>
  </si>
  <si>
    <t>Carmel-by-the-Sea</t>
  </si>
  <si>
    <t>Coastal Luxury</t>
  </si>
  <si>
    <t>$14,800–$18,400/mo</t>
  </si>
  <si>
    <t>$2,281,000</t>
  </si>
  <si>
    <t>Arts &amp; Culture, Nature-Centric</t>
  </si>
  <si>
    <t>Widely regarded as one of the most beautiful places in America — Carmel-by-the-Sea is a walkable fairytale village perched on Pacific cliffs with extraordinary art galleries, Pebble Beach golf, and the mildest coastal climate in the database.</t>
  </si>
  <si>
    <t>Big Sur fire-adjacent + CA insurance non-renewal crisis</t>
  </si>
  <si>
    <t>Napa</t>
  </si>
  <si>
    <t>Wine Country</t>
  </si>
  <si>
    <t>$7,900–$9,900/mo</t>
  </si>
  <si>
    <t>The heart of America’s premier wine country — Napa offers world-class food and wine culture, a mild Mediterranean climate, and proximity to San Francisco for retirees who prioritize lifestyle and sophistication over mountain access.</t>
  </si>
  <si>
    <t>Severe wildfire history + insurance non-renewal crisis</t>
  </si>
  <si>
    <t>Palm Springs</t>
  </si>
  <si>
    <t>$6,600–$8,200/mo</t>
  </si>
  <si>
    <t>$620,000</t>
  </si>
  <si>
    <t>Resort / Golf, Urban Neighborhood</t>
  </si>
  <si>
    <t>Hollywood glamour meets desert winters. World-class resort spas, BNP Paribas tennis, Coachella, Film Festival. Iconic small resort city.</t>
  </si>
  <si>
    <t>Extreme heat + some fire + CA insurance stress</t>
  </si>
  <si>
    <t>Santa Barbara</t>
  </si>
  <si>
    <t>Beach / Luxury</t>
  </si>
  <si>
    <t>$12,000–$14,900/mo</t>
  </si>
  <si>
    <t>$1,733,000</t>
  </si>
  <si>
    <t>Perfect 10 climate AND perfect 10 community. Best all-around weather in the database. The American Riviera — Spanish architecture, wine country, beaches.</t>
  </si>
  <si>
    <t>Wildfire (Thomas Fire) + debris-flow risk + CA insurance crisis</t>
  </si>
  <si>
    <t>Colorado Springs</t>
  </si>
  <si>
    <t>CO</t>
  </si>
  <si>
    <t>Mountain / Military</t>
  </si>
  <si>
    <t>$5,700–$7,100/mo</t>
  </si>
  <si>
    <t>$456,000</t>
  </si>
  <si>
    <t>Mountain</t>
  </si>
  <si>
    <t>Perfect 10 outdoor recreation AND community. Pikes Peak, Garden of the Gods in city limits. UCHealth Memorial excellent. Military culture creates civic pride.</t>
  </si>
  <si>
    <t>Wildfire/foothill zones above avg</t>
  </si>
  <si>
    <t>Wildfire (Waldo/Black Forest) + nation-leading hail; insurance available</t>
  </si>
  <si>
    <t>Durango</t>
  </si>
  <si>
    <t>Mountain / Historic Railroad Town</t>
  </si>
  <si>
    <t>$7,000–$8,700/mo</t>
  </si>
  <si>
    <t>$704,000</t>
  </si>
  <si>
    <t>Historic, College Town, Quiet &amp; Residential, Arts &amp; Culture, Nature-Centric</t>
  </si>
  <si>
    <t>Colorado's best senior tax benefits wrapped around a vibrant historic railroad town with 300 days of sunshine, gold-medal trout fishing through downtown, and cultural depth that belies its 19,000-person population.</t>
  </si>
  <si>
    <t>SW Colorado wildfire + drought</t>
  </si>
  <si>
    <t>Fort Collins</t>
  </si>
  <si>
    <t>College Town / Outdoor</t>
  </si>
  <si>
    <t>$553,000</t>
  </si>
  <si>
    <t>Forest / Green, Mountain</t>
  </si>
  <si>
    <t>Colorado State University energy meets world-class outdoor recreation. UCHealth Poudre Valley — #5 in Colorado, nationally ranked. Rocky Mountain National Park 45 min away. Old Town arts scene. Award-winning Senior Center. 300+ sunny days. 70 min to DIA.</t>
  </si>
  <si>
    <t>Wildfire (Cameron Peak) + hail</t>
  </si>
  <si>
    <t>Grand Junction</t>
  </si>
  <si>
    <t>Desert / Wine Country</t>
  </si>
  <si>
    <t>$5,600–$6,900/mo</t>
  </si>
  <si>
    <t>$425,000</t>
  </si>
  <si>
    <t>Nature-Centric, Arts &amp; Culture</t>
  </si>
  <si>
    <t>Colorado’s affordable outdoor alternative — Grand Junction delivers wine country, canyon recreation, 300+ sunny days, and access to world-class destinations at a fraction of Front Range prices.</t>
  </si>
  <si>
    <t>High desert; lower fire, some drought/heat</t>
  </si>
  <si>
    <t>Steamboat Springs</t>
  </si>
  <si>
    <t>Mountain Resort</t>
  </si>
  <si>
    <t>$9,100–$11,300/mo</t>
  </si>
  <si>
    <t>$1,138,000</t>
  </si>
  <si>
    <t>The most Olympic athletes per capita of any American town, Steamboat Springs offers world-class skiing, natural hot springs, and a genuine mountain town character at prices more accessible than Aspen or Jackson Hole.</t>
  </si>
  <si>
    <t>Mountain wildfire + remoteness/drought</t>
  </si>
  <si>
    <t>Vail</t>
  </si>
  <si>
    <t>Mountain Luxury</t>
  </si>
  <si>
    <t>$11,400–$14,200/mo</t>
  </si>
  <si>
    <t>$1,627,000</t>
  </si>
  <si>
    <t>The gold standard of American mountain resort living — Vail offers world-class skiing, a walkable European-style pedestrian village, and outdoor recreation infrastructure that is unmatched in the database, at a price to match.</t>
  </si>
  <si>
    <t>Mountain wildfire + drought + remoteness</t>
  </si>
  <si>
    <t>Rehoboth Beach</t>
  </si>
  <si>
    <t>DE</t>
  </si>
  <si>
    <t>Beach Town / Resort</t>
  </si>
  <si>
    <t>$632,000</t>
  </si>
  <si>
    <t>Historic, Arts &amp; Culture, Quiet &amp; Residential</t>
  </si>
  <si>
    <t>Delaware's 'Florida of the North' — nicknamed for its large retiree population and coastal lifestyle. No sales tax, SS exempt, 0.5% property tax. Atlantic beaches, Cape Henlopen State Park. Strong arts scene. Nearly half the population over 65. Biden's summer home.</t>
  </si>
  <si>
    <t>Atlantic coastal flooding, nor'easters, sea-level rise</t>
  </si>
  <si>
    <t>Wilmington</t>
  </si>
  <si>
    <t>Historic / Urban</t>
  </si>
  <si>
    <t>$6,500–$8,000/mo</t>
  </si>
  <si>
    <t>$430,000–$960,000</t>
  </si>
  <si>
    <t>Urban / Metro, Forest / Green</t>
  </si>
  <si>
    <t>Historic, Arts &amp; Culture, Urban Neighborhood</t>
  </si>
  <si>
    <t>WalletHub's 8th best US city to retire. No sales tax. No estate tax. SS exempt. ChristianaCare highly ranked. Philly's world-class hospitals 25 min away. Citywide median home $215K but retirees target Greenville, Hockessin, Brandywine Hundred, and Trolley Square ($400K–$1.1M). Strong tax package.</t>
  </si>
  <si>
    <t>Inland riverine flood risk only; low catastrophic exposure</t>
  </si>
  <si>
    <t>Delray Beach</t>
  </si>
  <si>
    <t>FL</t>
  </si>
  <si>
    <t>Beach / Walkable</t>
  </si>
  <si>
    <t>$5,100–$6,300/mo</t>
  </si>
  <si>
    <t>$341,000</t>
  </si>
  <si>
    <t>Urban Neighborhood, Arts &amp; Culture</t>
  </si>
  <si>
    <t>Best airport access in the database — 3 major airports within 55 min. Atlantic Avenue is one of Florida's most walkable and vibrant main streets.</t>
  </si>
  <si>
    <t>Coastal far above state avg; inland below</t>
  </si>
  <si>
    <t>Atlantic hurricane + surge; sits in Florida, the nation's costliest home-insurance market</t>
  </si>
  <si>
    <t>Fort Myers</t>
  </si>
  <si>
    <t>Beach / Active Adult</t>
  </si>
  <si>
    <t>$5,500–$6,800/mo</t>
  </si>
  <si>
    <t>$372,000</t>
  </si>
  <si>
    <t>RSW airport excellent. Lee Health strong regional hospital. Cape Coral and Sanibel beaches. More affordable than Naples while offering similar Gulf Coast lifestyle.</t>
  </si>
  <si>
    <t>Hurricane Ian ground zero — catastrophic surge; Florida's high-cost insurance market</t>
  </si>
  <si>
    <t>Naples</t>
  </si>
  <si>
    <t>Beach / Resort</t>
  </si>
  <si>
    <t>$6,500–$8,100/mo</t>
  </si>
  <si>
    <t>Resort / Golf</t>
  </si>
  <si>
    <t>NCH Hospital #1 in Florida multiple years. 97th percentile safety. World-class Gulf beaches. The most exclusive small resort city in Florida.</t>
  </si>
  <si>
    <t>Hurricane + surge + coastal flood; Florida's high-cost insurance market</t>
  </si>
  <si>
    <t>Pensacola</t>
  </si>
  <si>
    <t>Beach / Military</t>
  </si>
  <si>
    <t>$264,000</t>
  </si>
  <si>
    <t>Pensacola Beach — some of the whitest sand on the Gulf Coast. No Florida income tax. More affordable than most FL beach cities. Military heritage.</t>
  </si>
  <si>
    <t>Panhandle hurricanes (Ivan, Sally) + surge; Florida's high-cost insurance market</t>
  </si>
  <si>
    <t>Sarasota</t>
  </si>
  <si>
    <t>Beach / Arts</t>
  </si>
  <si>
    <t>$5,800–$7,200/mo</t>
  </si>
  <si>
    <t>$462,000</t>
  </si>
  <si>
    <t>Resort / Golf, Urban Neighborhood, Arts &amp; Culture</t>
  </si>
  <si>
    <t>Siesta Key #1 beach in America. Sarasota Memorial perfect CMS 5-star rating every year. Extraordinary arts scene — opera, ballet, symphony, Ringling Museum.</t>
  </si>
  <si>
    <t>Gulf surge + hurricane; Florida's high-cost insurance market</t>
  </si>
  <si>
    <t>St. Augustine</t>
  </si>
  <si>
    <t>Historic / Beach</t>
  </si>
  <si>
    <t>$432,000</t>
  </si>
  <si>
    <t>Perfect 10 community. Oldest city in America — 1565. Genuinely walkable historic district. Flagler Hospital well-rated. No Florida income tax.</t>
  </si>
  <si>
    <t>NE-FL coast; hurricane/flood, somewhat less surge-exposed; Florida's high-cost insurance market</t>
  </si>
  <si>
    <t>St. Petersburg</t>
  </si>
  <si>
    <t>Beach / Arts City</t>
  </si>
  <si>
    <t>$375,000</t>
  </si>
  <si>
    <t>Beach / Coastal, Urban / Metro</t>
  </si>
  <si>
    <t>Arts &amp; Culture, Urban Neighborhood, Historic</t>
  </si>
  <si>
    <t>Motley Fool's #1 Best Place to Retire 2026. Walk Score 94, Bike Score 90. Dalí Museum, Chihuly Collection, vibrant arts scene. Cost of living 4% below national average. Homicides down 44% in 2025. Florida's most walkable city with real beach access.</t>
  </si>
  <si>
    <t>Tampa Bay — among the most surge-vulnerable US metros; Florida's high-cost insurance market</t>
  </si>
  <si>
    <t>Tampa</t>
  </si>
  <si>
    <t>Metro / Beach</t>
  </si>
  <si>
    <t>$400,000</t>
  </si>
  <si>
    <t>Historic, Arts &amp; Culture</t>
  </si>
  <si>
    <t>Perfect 10 airport AND perfect 10 healthcare. TPA major hub. Tampa General nationally ranked. Most complete package of any Florida metro. Best value in FL.</t>
  </si>
  <si>
    <t>Extreme storm-surge exposure; Florida's high-cost insurance market</t>
  </si>
  <si>
    <t>Savannah</t>
  </si>
  <si>
    <t>GA</t>
  </si>
  <si>
    <t>Historic / Coastal</t>
  </si>
  <si>
    <t>$326,000</t>
  </si>
  <si>
    <t>Beach / Coastal, Forest / Green</t>
  </si>
  <si>
    <t>Urban Neighborhood, Arts &amp; Culture, Historic</t>
  </si>
  <si>
    <t>22 moss-draped historic squares — one of America's most beautiful cities. SCAD arts scene, world-class food, affordable coastal living.</t>
  </si>
  <si>
    <t>Coastal hurricane + tidal flooding</t>
  </si>
  <si>
    <t>Des Moines</t>
  </si>
  <si>
    <t>IA</t>
  </si>
  <si>
    <t>Capital City / Midwest</t>
  </si>
  <si>
    <t>$4,200–$5,300/mo</t>
  </si>
  <si>
    <t>$191,000</t>
  </si>
  <si>
    <t>Urban Neighborhood, Arts &amp; Culture, College Town</t>
  </si>
  <si>
    <t>Iowa's capital delivers extraordinary value — 17% below national cost of living, $217K median home, MercyOne top-ranked for coronary care. Principal Financial, Wells Fargo, Nationwide all headquartered here creating a sophisticated city feel. East Village arts district and Gray's Lake trails offer genuine urban quality of life.</t>
  </si>
  <si>
    <t>Derecho (2020) + severe convective storms; insurance stable</t>
  </si>
  <si>
    <t>Boise</t>
  </si>
  <si>
    <t>ID</t>
  </si>
  <si>
    <t>Outdoor / Growing</t>
  </si>
  <si>
    <t>$5,700–$7,000/mo</t>
  </si>
  <si>
    <t>$505,000</t>
  </si>
  <si>
    <t>Fastest growing city in the database. Outdoor recreation exceptional. 74th percentile safety. But housing has risen sharply and summers get hot.</t>
  </si>
  <si>
    <t>Wildfire + smoke + growing heat</t>
  </si>
  <si>
    <t>Coeur d’Alène</t>
  </si>
  <si>
    <t>Lakeside Mountain</t>
  </si>
  <si>
    <t>$5,900–$7,400/mo</t>
  </si>
  <si>
    <t>Mountain, Lakeside</t>
  </si>
  <si>
    <t>One of the most visually stunning small cities in America — Coeur d’Alène sits on a sparkling lake surrounded by forested mountains, with Spokane’s full urban amenities just 30 miles west.</t>
  </si>
  <si>
    <t>Wildfire + smoke</t>
  </si>
  <si>
    <t>Sun Valley</t>
  </si>
  <si>
    <t>$8,600–$10,700/mo</t>
  </si>
  <si>
    <t>$1,114,000</t>
  </si>
  <si>
    <t>Sun Valley has attracted artists, writers, and outdoor enthusiasts for a century — a sophisticated mountain resort with world-class skiing, summer festivals, and Idaho’s favorable tax environment.</t>
  </si>
  <si>
    <t>Mountain wildfire + remoteness</t>
  </si>
  <si>
    <t>Bloomington</t>
  </si>
  <si>
    <t>IN</t>
  </si>
  <si>
    <t>College Town</t>
  </si>
  <si>
    <t>$4,600–$5,700/mo</t>
  </si>
  <si>
    <t>$296,000</t>
  </si>
  <si>
    <t>College Town, Quiet &amp; Residential, Arts &amp; Culture</t>
  </si>
  <si>
    <t>Indiana University anchors a vibrant arts and intellectual community. IU Health hospital excellent. Affordable college town with surprising cultural depth.</t>
  </si>
  <si>
    <t>Tornado/severe-storm season; otherwise low exposure</t>
  </si>
  <si>
    <t>Indianapolis</t>
  </si>
  <si>
    <t>Urban / Sports</t>
  </si>
  <si>
    <t>$5,400–$6,700/mo</t>
  </si>
  <si>
    <t>Indianapolis offers a complete major-city experience — excellent airport, strong healthcare, thriving sports culture, and a growing arts scene. Citywide median home $223K but retirees target Carmel, Zionsville, Fishers, and Broad Ripple ($425K–$700K).</t>
  </si>
  <si>
    <t>Tornado/severe storms; low catastrophic exposure</t>
  </si>
  <si>
    <t>Lexington</t>
  </si>
  <si>
    <t>KY</t>
  </si>
  <si>
    <t>Horse Country / College</t>
  </si>
  <si>
    <t>$4,800–$5,900/mo</t>
  </si>
  <si>
    <t>Lakeside, Forest / Green</t>
  </si>
  <si>
    <t>UK HealthCare exceptional — nationally ranked. Horse country beauty. Affordable college town. Keeneland, bourbon culture, strong arts scene.</t>
  </si>
  <si>
    <t>Tornado + flooding risk; moderate overall</t>
  </si>
  <si>
    <t>Paducah</t>
  </si>
  <si>
    <t>River City / Arts</t>
  </si>
  <si>
    <t>$4,100–$5,100/mo</t>
  </si>
  <si>
    <t>$185,000</t>
  </si>
  <si>
    <t>A UNESCO Creative City at the confluence of the Ohio and Tennessee Rivers — Paducah offers a nationally recognized arts scene, gorgeous historic downtown, and some of the lowest home prices in the database.</t>
  </si>
  <si>
    <t>New Madrid seismic-zone edge + Ohio/Mississippi flooding + tornado</t>
  </si>
  <si>
    <t>Annapolis</t>
  </si>
  <si>
    <t>MD</t>
  </si>
  <si>
    <t>Historic / Waterfront</t>
  </si>
  <si>
    <t>$6,300–$7,800/mo</t>
  </si>
  <si>
    <t>$630,000</t>
  </si>
  <si>
    <t>America's sailing capital. Extraordinary historic downtown. BWI airport 25 min. Baltimore and DC world-class medical centers within reach.</t>
  </si>
  <si>
    <t>Chesapeake tidal flooding + sea-level rise + hurricane remnants</t>
  </si>
  <si>
    <t>Silver Spring</t>
  </si>
  <si>
    <t>Urban / Walkable / DC Metro</t>
  </si>
  <si>
    <t>$526,000</t>
  </si>
  <si>
    <t>Urban / Metro</t>
  </si>
  <si>
    <t>Arts &amp; Culture, Urban Neighborhood, Nature-Centric</t>
  </si>
  <si>
    <t>Metro Red Line + MARC train direct to DC. Purple Line coming 2027. Johns Hopkins 30 min, NIH 15 min. One of the most diverse communities in the DC metro area.</t>
  </si>
  <si>
    <t>Inland DC metro; low catastrophic, some flooding</t>
  </si>
  <si>
    <t>Portland</t>
  </si>
  <si>
    <t>ME</t>
  </si>
  <si>
    <t>New England / Arts</t>
  </si>
  <si>
    <t>$576,000</t>
  </si>
  <si>
    <t>Perfect 10 community — best food scene per capita in the US. Maine Medical Center excellent. Most walkable small city in New England. Real winters.</t>
  </si>
  <si>
    <t>Coastal storms but low catastrophic exposure; stable market</t>
  </si>
  <si>
    <t>Ann Arbor</t>
  </si>
  <si>
    <t>MI</t>
  </si>
  <si>
    <t>$489,000</t>
  </si>
  <si>
    <t>University of Michigan drives world-class healthcare and culture. DTW airport 30 min. Michigan Medicine top 10 hospital nationally. Exceptional college town.</t>
  </si>
  <si>
    <t>Great Lakes; minimal catastrophic exposure, stable insurance</t>
  </si>
  <si>
    <t>St. Paul</t>
  </si>
  <si>
    <t>MN</t>
  </si>
  <si>
    <t>Major Metro</t>
  </si>
  <si>
    <t>$4,700–$5,900/mo</t>
  </si>
  <si>
    <t>Historic, College Town, Urban Neighborhood</t>
  </si>
  <si>
    <t>Perfect 10 airport access — MSP is a major Delta hub. Exceptional healthcare. Citywide median home $280K but retirees target Highland Park, Macalester-Groveland, Summit Hill, and St. Anthony Park ($425K–$650K). Warning: brutal winters.</t>
  </si>
  <si>
    <t>Severe winter/storms; low catastrophic exposure</t>
  </si>
  <si>
    <t>Kansas City</t>
  </si>
  <si>
    <t>MO</t>
  </si>
  <si>
    <t>Urban / Cultural</t>
  </si>
  <si>
    <t>$4,500–$5,700/mo</t>
  </si>
  <si>
    <t>$250,000</t>
  </si>
  <si>
    <t>One of the most underrated major American cities for retirement — Kansas City combines world-class arts, legendary barbecue culture, affordable homes under $260K, and strong healthcare without coastal price tags.</t>
  </si>
  <si>
    <t>Tornado Alley severe storms + hail</t>
  </si>
  <si>
    <t>St. Louis</t>
  </si>
  <si>
    <t>Major Metro / Historic</t>
  </si>
  <si>
    <t>$4,400–$5,400/mo</t>
  </si>
  <si>
    <t>$235,000</t>
  </si>
  <si>
    <t>Barnes-Jewish Hospital — #1 in Missouri, nationally ranked in 11 specialties, US News Honor Roll. Forest Park is larger than Central Park. Free world-class art museum. Median home $250K citywide but retirees target Chesterfield, Kirkwood, Webster Groves ($350K–$500K). Extraordinary value for healthcare quality.</t>
  </si>
  <si>
    <t>Tornado + river flooding + New Madrid seismic proximity + heat</t>
  </si>
  <si>
    <t>Bozeman</t>
  </si>
  <si>
    <t>MT</t>
  </si>
  <si>
    <t>Mountain / College Town</t>
  </si>
  <si>
    <t>$6,900–$8,600/mo</t>
  </si>
  <si>
    <t>$740,000</t>
  </si>
  <si>
    <t>College Town, Quiet &amp; Residential, Arts &amp; Culture, Nature-Centric</t>
  </si>
  <si>
    <t>Montana's strongest all-around mountain college town — excellent airport, Leapfrog A hospital, Yellowstone 90 minutes away, and Montana State University energy year-round.</t>
  </si>
  <si>
    <t>Missoula</t>
  </si>
  <si>
    <t>Mountain / Arts &amp; College Town</t>
  </si>
  <si>
    <t>$6,000–$7,500/mo</t>
  </si>
  <si>
    <t>$548,000</t>
  </si>
  <si>
    <t>Montana's #1 hospital, the deepest arts scene in the Mountain West for its size, and three rivers converging at the city — all at the most accessible price point in this group.</t>
  </si>
  <si>
    <t>Wildfire + valley-trapped smoke</t>
  </si>
  <si>
    <t>Whitefish</t>
  </si>
  <si>
    <t>$7,400–$9,200/mo</t>
  </si>
  <si>
    <t>$847,000</t>
  </si>
  <si>
    <t>Nature-Centric, Arts &amp; Culture, Historic</t>
  </si>
  <si>
    <t>Gateway to Glacier National Park with world-class skiing, stunning lake views, and a walkable mountain town character that draws active retirees from across the country.</t>
  </si>
  <si>
    <t>Asheville</t>
  </si>
  <si>
    <t>NC</t>
  </si>
  <si>
    <t>Mountain Arts Town</t>
  </si>
  <si>
    <t>Perfect 10 outdoor recreation — Blue Ridge Parkway, Great Smokies 1 hour. Extraordinary arts scene. #1 breweries per capita in the US.</t>
  </si>
  <si>
    <t>Coastal above state avg</t>
  </si>
  <si>
    <t>Former 'climate haven'; Hurricane Helene caused catastrophic inland flooding (2024)</t>
  </si>
  <si>
    <t>Beaufort</t>
  </si>
  <si>
    <t>Historic / Coastal / Small Town</t>
  </si>
  <si>
    <t>$318,000</t>
  </si>
  <si>
    <t>Historic, Quiet &amp; Residential, Nature-Centric</t>
  </si>
  <si>
    <t>Third oldest town in NC (1709). Budget Travel's 'America's Coolest Small Town.' Carteret County's lowest property tax in NC. Wild horses on Rachel Carson Reserve. Year-round water sports. Cape Lookout National Seashore. Tight, welcoming community identity unlike anywhere in the database.</t>
  </si>
  <si>
    <t>Crystal Coast barrier — extreme hurricane + surge exposure</t>
  </si>
  <si>
    <t>Raleigh</t>
  </si>
  <si>
    <t>Metro / Research</t>
  </si>
  <si>
    <t>$436,000</t>
  </si>
  <si>
    <t>WakeMed and UNC Health excellent. RDU strong airport. Research Triangle energy drives culture and healthcare. Best complete package in the Southeast.</t>
  </si>
  <si>
    <t>Piedmont; hurricane remnants only, low exposure</t>
  </si>
  <si>
    <t>Beach / Historic</t>
  </si>
  <si>
    <t>$418,000</t>
  </si>
  <si>
    <t>Wrightsville Beach one of the East Coast's best. Historic downtown. Film production hub. More affordable than comparable coastal NC cities.</t>
  </si>
  <si>
    <t>Direct hurricane-landfall corridor (Florence) + surge</t>
  </si>
  <si>
    <t>Nashua</t>
  </si>
  <si>
    <t>NH</t>
  </si>
  <si>
    <t>New England / Value</t>
  </si>
  <si>
    <t>$5,600–$7,000/mo</t>
  </si>
  <si>
    <t>$440,000</t>
  </si>
  <si>
    <t>No New Hampshire income tax. BOS airport 45 min. Southern Gateway Hospital strong. Boston access without Boston prices. Real winters.</t>
  </si>
  <si>
    <t>Low catastrophic exposure; occasional flooding/winter storms</t>
  </si>
  <si>
    <t>Rio Rancho</t>
  </si>
  <si>
    <t>NM</t>
  </si>
  <si>
    <t>Desert Suburb</t>
  </si>
  <si>
    <t>$4,800–$6,000/mo</t>
  </si>
  <si>
    <t>$323,000</t>
  </si>
  <si>
    <t>Desert, Mountain</t>
  </si>
  <si>
    <t>Ranked #6 US News Best Places to Retire 2026 — Rio Rancho combines 300+ sunny days, stunning Sandia Mountain views, affordable master-planned neighborhoods, and 20-minute access to Albuquerque’s medical centers.</t>
  </si>
  <si>
    <t>High-desert wildfire/drought/heat; milder than AZ valley</t>
  </si>
  <si>
    <t>Santa Fe</t>
  </si>
  <si>
    <t>Historic Arts Capital</t>
  </si>
  <si>
    <t>$571,000</t>
  </si>
  <si>
    <t>Perfect 10 community — 3rd largest art market in US after New York and LA. Founded 1610. 7,000 ft elevation creates unique high-desert setting.</t>
  </si>
  <si>
    <t>Wildfire (record 2022 fire) + drought + heat</t>
  </si>
  <si>
    <t>Las Vegas</t>
  </si>
  <si>
    <t>NV</t>
  </si>
  <si>
    <t>Major Metro / Entertainment</t>
  </si>
  <si>
    <t>$478,000</t>
  </si>
  <si>
    <t>Desert, Urban / Metro</t>
  </si>
  <si>
    <t>Perfect 10 airport AND perfect 10 taxes — a rare double. LAS serves 120+ nonstop destinations. Zero Nevada income tax on everything. Warm dry winters. Red Rock Canyon 20 min. Cleveland Clinic Lou Ruvo Center for Brain Health. Entertainment capital of the world. Retirees live in Summerlin or Henderson — not near the Strip.</t>
  </si>
  <si>
    <t>Saratoga Springs</t>
  </si>
  <si>
    <t>NY</t>
  </si>
  <si>
    <t>Historic / Arts</t>
  </si>
  <si>
    <t>$6,700–$8,300/mo</t>
  </si>
  <si>
    <t>$619,000</t>
  </si>
  <si>
    <t>Perfect 10 community. Horse racing, SPAC, mineral springs, extraordinary arts calendar. One of the most distinctive small cities in America.</t>
  </si>
  <si>
    <t>Upstate; low catastrophic exposure</t>
  </si>
  <si>
    <t>Columbus</t>
  </si>
  <si>
    <t>OH</t>
  </si>
  <si>
    <t>Major Metro / College Town</t>
  </si>
  <si>
    <t>$4,400–$5,500/mo</t>
  </si>
  <si>
    <t>Ohio State Wexner Medical Center and The James Cancer Hospital make Columbus a genuine healthcare powerhouse. At $260K median home in a growing, culturally vibrant city with 7% below national average cost of living — extraordinary value for retirees who prioritize medical access and urban amenities.</t>
  </si>
  <si>
    <t>Low catastrophic exposure; occasional severe storms</t>
  </si>
  <si>
    <t>Bend</t>
  </si>
  <si>
    <t>OR</t>
  </si>
  <si>
    <t>$6,900–$8,500/mo</t>
  </si>
  <si>
    <t>$726,000</t>
  </si>
  <si>
    <t>Nature-Centric</t>
  </si>
  <si>
    <t>Perfect 10 outdoor recreation. High desert at 3,600 ft means 300 sunny days and dry summers. St. Charles Medical excellent. But housing has surged.</t>
  </si>
  <si>
    <t>Wildfire + smoke + drought, worsening</t>
  </si>
  <si>
    <t>Eugene</t>
  </si>
  <si>
    <t>University of Oregon energy. Outdoor recreation excellent. Willamette Valley wine country. But Oregon income tax is among the worst for retirees.</t>
  </si>
  <si>
    <t>Wildfire smoke + 2020-fire proximity; wetter winters</t>
  </si>
  <si>
    <t>Philadelphia</t>
  </si>
  <si>
    <t>PA</t>
  </si>
  <si>
    <t>Historic / Urban / College Town</t>
  </si>
  <si>
    <t>$240,000</t>
  </si>
  <si>
    <t>Urban / Metro, Beach / Coastal</t>
  </si>
  <si>
    <t>Historic, Arts &amp; Culture, Urban Neighborhood, Nature-Centric, Big City Energy</t>
  </si>
  <si>
    <t>Penn Medicine #1 in Pennsylvania, nationally ranked in 11 specialties. Jefferson Health nationally ranked in 6. Citywide median home $270K but retirees target Rittenhouse Square, Society Hill, Chestnut Hill, and Manayunk ($475K–$975K).</t>
  </si>
  <si>
    <t>Riverine/coastal flood pockets + heat; low catastrophic</t>
  </si>
  <si>
    <t>Pittsburgh</t>
  </si>
  <si>
    <t>College Town / Urban / Outdoor</t>
  </si>
  <si>
    <t>$4,300–$5,400/mo</t>
  </si>
  <si>
    <t>Arts &amp; Culture, Urban Neighborhood, College Town, Nature-Centric</t>
  </si>
  <si>
    <t>UPMC Presbyterian Shadyside #1 in Pittsburgh, #2 in Pennsylvania, nationally ranked in 9 specialties. Citywide median home $265K but retirees target Squirrel Hill, Shadyside, Mt. Lebanon, and Fox Chapel ($425K–$700K+). World-class healthcare at northeastern-affordable prices.</t>
  </si>
  <si>
    <t>Localized riverine flood/landslide only; low catastrophic</t>
  </si>
  <si>
    <t>Charleston</t>
  </si>
  <si>
    <t>SC</t>
  </si>
  <si>
    <t>Historic, Urban Neighborhood, Arts &amp; Culture</t>
  </si>
  <si>
    <t>MUSC Health #1 hospital in SC 11 consecutive years. One of America's most beautiful historic cities with a world-class food and arts scene.</t>
  </si>
  <si>
    <t>Hurricane + tidal/nuisance flooding + sea-level rise</t>
  </si>
  <si>
    <t>Greenville</t>
  </si>
  <si>
    <t>Inland / Small City</t>
  </si>
  <si>
    <t>Mountain, Forest / Green</t>
  </si>
  <si>
    <t>Urban Neighborhood, Quiet &amp; Residential, Arts &amp; Culture</t>
  </si>
  <si>
    <t>Two competing top-ranked hospital systems. Falls Park, Swamp Rabbit Trail, thriving Main Street. Housing 27% below national average.</t>
  </si>
  <si>
    <t>Upstate; low coastal risk, occasional severe storms</t>
  </si>
  <si>
    <t>Hilton Head</t>
  </si>
  <si>
    <t>$705,000</t>
  </si>
  <si>
    <t>Classic resort island retirement — Harbour Town Golf Links, pristine Atlantic beaches, world-class golf. Quieter and more exclusive than Florida peers.</t>
  </si>
  <si>
    <t>Barrier-island hurricane + surge exposure</t>
  </si>
  <si>
    <t>Sioux Falls</t>
  </si>
  <si>
    <t>SD</t>
  </si>
  <si>
    <t>Small Metro / Plains</t>
  </si>
  <si>
    <t>$314,000</t>
  </si>
  <si>
    <t>Quiet &amp; Residential, Nature-Centric</t>
  </si>
  <si>
    <t>No South Dakota state income tax — zero on Social Security, 401k, IRA, pension, everything. Sanford Health nationally recognized. Forbes Top 25 cities to retire. Median home $285K. Very safe. The trade is brutal winters — January average 16°F. For tax-motivated retirees who can handle cold, Sioux Falls delivers extraordinary financial value.</t>
  </si>
  <si>
    <t>Hail/severe weather; no defining catastrophic peril</t>
  </si>
  <si>
    <t>Chattanooga</t>
  </si>
  <si>
    <t>TN</t>
  </si>
  <si>
    <t>Outdoor / Mid-size</t>
  </si>
  <si>
    <t>$4,600–$5,800/mo</t>
  </si>
  <si>
    <t>$328,000</t>
  </si>
  <si>
    <t>Urban Neighborhood, Quiet &amp; Residential, Nature-Centric</t>
  </si>
  <si>
    <t>Best value city in the Southeast. No Tennessee income tax. CHI Memorial Best Regional Hospital 11 straight years. Stunning Tennessee River setting.</t>
  </si>
  <si>
    <t>Flooding + tornado; Appalachian, Helene-region edge</t>
  </si>
  <si>
    <t>Johnson City</t>
  </si>
  <si>
    <t>Mountain / Affordable</t>
  </si>
  <si>
    <t>Most affordable city in the database at Range 1. No Tennessee income tax. Appalachian Trail access. Beautiful mountain setting. Hospital quality is the key concern.</t>
  </si>
  <si>
    <t>Far-E TN; severe Helene-related flooding nearby (2024)</t>
  </si>
  <si>
    <t>Knoxville</t>
  </si>
  <si>
    <t>$368,000</t>
  </si>
  <si>
    <t>College Town, Urban Neighborhood, Nature-Centric</t>
  </si>
  <si>
    <t>No Tennessee income tax. University of Tennessee energy. Great Smoky Mountains 30 min. Underrated city with strong hospital system and exceptional value.</t>
  </si>
  <si>
    <t>Flooding + tornado; Helene-region edge</t>
  </si>
  <si>
    <t>Memphis</t>
  </si>
  <si>
    <t>$195,000</t>
  </si>
  <si>
    <t>The birthplace of blues, rock and roll, and soul food — Memphis has one of the richest cultural identities in America, world-class healthcare in St. Jude and Methodist hospitals. Citywide median home $170K but retirees target Germantown, Collierville, East Memphis, and Bartlett ($280K–$500K).</t>
  </si>
  <si>
    <t>New Madrid seismic zone + Mississippi flooding + tornado + heat</t>
  </si>
  <si>
    <t>Nashville</t>
  </si>
  <si>
    <t>Metro / Music City</t>
  </si>
  <si>
    <t>$460,000</t>
  </si>
  <si>
    <t>Music City's secret weapon: Vanderbilt UIMC — #1 hospital in Tennessee, nationally ranked in 6 specialties. BNA airport 8 miles, 108 domestic routes. No state income tax. World-class food, music, and culture. Getting expensive but still compelling.</t>
  </si>
  <si>
    <t>Flooding (2010/2021) + tornado (2020) + heat</t>
  </si>
  <si>
    <t>Corpus Christi</t>
  </si>
  <si>
    <t>TX</t>
  </si>
  <si>
    <t>Beach / Affordable</t>
  </si>
  <si>
    <t>$219,000</t>
  </si>
  <si>
    <t>Most affordable Gulf Coast beach city in the database. No Texas income tax. Year-round warm weather. Padre Island National Seashore.</t>
  </si>
  <si>
    <t>Gulf coast far above state avg</t>
  </si>
  <si>
    <t>Gulf hurricane + surge + high coastal insurance</t>
  </si>
  <si>
    <t>Fort Worth</t>
  </si>
  <si>
    <t>City / Western</t>
  </si>
  <si>
    <t>$5,000–$6,200/mo</t>
  </si>
  <si>
    <t>$300,000</t>
  </si>
  <si>
    <t>Perfect 10 airport — DFW is a major American hub. Genuine Western character. World-class Kimbell Art Museum. No Texas income tax. Affordable.</t>
  </si>
  <si>
    <t>Tornado Alley fringe + severe hail + heat; elevated but available insurance</t>
  </si>
  <si>
    <t>Georgetown</t>
  </si>
  <si>
    <t>Active Adult / Suburban</t>
  </si>
  <si>
    <t>$5,900–$7,300/mo</t>
  </si>
  <si>
    <t>$457,000</t>
  </si>
  <si>
    <t>Sun City Texas — 86,000 sq ft amenity center, 3 golf courses, 100+ clubs, Senior University. 85th percentile safety. No Texas income tax. AUS airport 35 min.</t>
  </si>
  <si>
    <t>Central-TX severe storms/hail + heat</t>
  </si>
  <si>
    <t>San Antonio</t>
  </si>
  <si>
    <t>City / Historic</t>
  </si>
  <si>
    <t>$5,100–$6,400/mo</t>
  </si>
  <si>
    <t>$320,000</t>
  </si>
  <si>
    <t>No Texas income tax. SAT airport excellent. River Walk, the Alamo, world-class Mexican food culture. Citywide median home $260K but retirees target Stone Oak, Alamo Heights, Terrell Hills, and Olmos Park ($475K–$900K).</t>
  </si>
  <si>
    <t>Flash flooding + hail + heat</t>
  </si>
  <si>
    <t>Frisco</t>
  </si>
  <si>
    <t>Master-Planned Suburb</t>
  </si>
  <si>
    <t>$7,200–$8,900/mo</t>
  </si>
  <si>
    <t>$674,000</t>
  </si>
  <si>
    <t>Quiet &amp; Residential, Resort / Golf</t>
  </si>
  <si>
    <t>Sports City USA — PGA of America headquarters, the Dallas Cowboys' Star campus, and FC Dallas in one master-built suburb. DFW hub about 30 minutes. No Texas income tax. One of America's safest large cities for its size.</t>
  </si>
  <si>
    <t>N-TX hail/tornado + heat</t>
  </si>
  <si>
    <t>Park City</t>
  </si>
  <si>
    <t>UT</t>
  </si>
  <si>
    <t>Mountain / Resort Town</t>
  </si>
  <si>
    <t>$10,600–$13,200/mo</t>
  </si>
  <si>
    <t>$1,522,000</t>
  </si>
  <si>
    <t>Historic, Resort / Golf, Arts &amp; Culture, Nature-Centric</t>
  </si>
  <si>
    <t>Two world-class ski resorts, SLC airport 35 minutes away, and elite wellness infrastructure — the premium mountain resort retirement destination in the West.</t>
  </si>
  <si>
    <t>Mountain wildfire + water + moderate Wasatch seismic</t>
  </si>
  <si>
    <t>St. George</t>
  </si>
  <si>
    <t>Desert / Outdoor</t>
  </si>
  <si>
    <t>$507,000</t>
  </si>
  <si>
    <t>Resort / Golf, Nature-Centric</t>
  </si>
  <si>
    <t>Perfect 10 outdoor recreation — Zion 45 min, Bryce Canyon 90 min, Snow Canyon in city limits. Intermountain Health #2 in Utah with A Leapfrog grade.</t>
  </si>
  <si>
    <t>Desert extreme heat + water scarcity + some fire</t>
  </si>
  <si>
    <t>Alexandria</t>
  </si>
  <si>
    <t>VA</t>
  </si>
  <si>
    <t>Historic / Urban / Waterfront</t>
  </si>
  <si>
    <t>$6,400–$7,900/mo</t>
  </si>
  <si>
    <t>$673,000</t>
  </si>
  <si>
    <t>Historic, Arts &amp; Culture, Urban Neighborhood, Nature-Centric</t>
  </si>
  <si>
    <t>Historic Old Town walkable with 5 Metro stations — Reagan National 15 min by Metro. Inova Alexandria Hospital Leapfrog A, US News #7 in DC metro.</t>
  </si>
  <si>
    <t>Potomac/tidal flood pockets; low catastrophic, DC metro</t>
  </si>
  <si>
    <t>Charlottesville</t>
  </si>
  <si>
    <t>College / Historic</t>
  </si>
  <si>
    <t>$465,000</t>
  </si>
  <si>
    <t>UVA Health excellent — Level I trauma, nationally ranked. Monticello, Blue Ridge Parkway, Shenandoah all within reach. Exceptional intellectual and arts community.</t>
  </si>
  <si>
    <t>Inland Piedmont; low exposure</t>
  </si>
  <si>
    <t>Roanoke</t>
  </si>
  <si>
    <t>Blue Ridge Mountain City</t>
  </si>
  <si>
    <t>$251,000</t>
  </si>
  <si>
    <t>Arts &amp; Culture, Nature-Centric, Historic</t>
  </si>
  <si>
    <t>Tucked into the Blue Ridge Mountains with the Appalachian Trail and Blue Ridge Parkway in its backyard — Roanoke combines genuine mountain access, Carilion’s strong regional healthcare, a growing arts scene, and median homes under $230K.</t>
  </si>
  <si>
    <t>Blue Ridge valley; low catastrophic, some flooding</t>
  </si>
  <si>
    <t>Virginia Beach</t>
  </si>
  <si>
    <t>Beach / Metro</t>
  </si>
  <si>
    <t>$5,300–$6,600/mo</t>
  </si>
  <si>
    <t>$417,000</t>
  </si>
  <si>
    <t>35 miles of Atlantic beach. Sentara Healthcare strong regional system. More affordable than comparable Florida beach cities.</t>
  </si>
  <si>
    <t>Coastal hurricane + surge + recurrent tidal flooding + sea-level rise</t>
  </si>
  <si>
    <t>Spokane</t>
  </si>
  <si>
    <t>WA</t>
  </si>
  <si>
    <t>Inland / Outdoor</t>
  </si>
  <si>
    <t>$404,000</t>
  </si>
  <si>
    <t>No Washington income tax. Providence Sacred Heart excellent hospital. Affordable Pacific Northwest living far from Seattle prices. Outdoor recreation strong.</t>
  </si>
  <si>
    <t>Wildfire + smoke (eastern WA)</t>
  </si>
  <si>
    <t>Madison</t>
  </si>
  <si>
    <t>WI</t>
  </si>
  <si>
    <t>College Town / Lakes</t>
  </si>
  <si>
    <t>$413,000</t>
  </si>
  <si>
    <t>University of Wisconsin drives exceptional culture between two beautiful lakes. UW Health nationally ranked. State Capitol energy. Real winters.</t>
  </si>
  <si>
    <t>Severe storms only; low catastrophic exposure</t>
  </si>
  <si>
    <t>Casper</t>
  </si>
  <si>
    <t>WY</t>
  </si>
  <si>
    <t>Small City / Outdoor</t>
  </si>
  <si>
    <t>$273,000</t>
  </si>
  <si>
    <t>Wyoming ranked #1 retirement destination for affordability and open spaces (Cowboy State Daily, 2026). No Wyoming state income tax — zero on everything. Median home $275K. Platte River Trails, Casper Mountain, wild horses nearby. Wyoming Medical Center adequate regional hub. Best value for outdoor-oriented, tax-motivated retirees who embrace small-town life.</t>
  </si>
  <si>
    <t>High-plains wind/severe weather; low catastrophic, low density</t>
  </si>
  <si>
    <t>Jackson Hole</t>
  </si>
  <si>
    <t>Mountain / Luxury</t>
  </si>
  <si>
    <t>$12,200–$15,200/mo</t>
  </si>
  <si>
    <t>$1,851,000</t>
  </si>
  <si>
    <t>Perfect 10 outdoor recreation. No Wyoming income tax. Grand Teton and Yellowstone in your backyard. The most dramatic setting in the database. Extremely expensive.</t>
  </si>
  <si>
    <t>Mountain wildfire + Teton seismic + remoteness; low insurance stress</t>
  </si>
  <si>
    <t>Iowa City</t>
  </si>
  <si>
    <t>College Town / University Hub</t>
  </si>
  <si>
    <t>$284,000</t>
  </si>
  <si>
    <t>College Town, Urban Neighborhood, Arts &amp; Culture</t>
  </si>
  <si>
    <t>University of Iowa Hospitals — #1 in Iowa, nationally ranked in 4 specialties including ophthalmology #6. Iowa eliminated state tax on retirement income in 2023. Iowa Writers' Workshop and a deep arts culture punch well above the city's size.</t>
  </si>
  <si>
    <t>Severe storms + river flooding</t>
  </si>
  <si>
    <t>Eureka Springs</t>
  </si>
  <si>
    <t>$315,000</t>
  </si>
  <si>
    <t>Quiet &amp; Residential, Arts &amp; Culture, Historic</t>
  </si>
  <si>
    <t>Often called "the gayest small town in America" — Eureka Springs has a 30%+ LGBTQ+ population, three Diversity Weekends per year, and a month-long May arts festival. Victorian historic district, Ozark spa heritage, Buffalo River nearby.</t>
  </si>
  <si>
    <t>Ozarks severe storms; low overall</t>
  </si>
  <si>
    <t>Miami</t>
  </si>
  <si>
    <t>Major Metro / Beach</t>
  </si>
  <si>
    <t>$6,400–$8,000/mo</t>
  </si>
  <si>
    <t>$575,000</t>
  </si>
  <si>
    <t>The only city in the database with all four major pro sports leagues. UM-Sylvester (NCI-designated cancer center), Jackson Memorial, Mount Sinai. Citywide median home $430K but retirees target Coral Gables, Coconut Grove, Key Biscayne, Aventura, Pinecrest ($592K–$2.25M). World-class culture, no state tax.</t>
  </si>
  <si>
    <t>Hurricane + surge + sea-level rise; Florida's high-cost insurance market</t>
  </si>
  <si>
    <t>La Crosse</t>
  </si>
  <si>
    <t>River City / College Town</t>
  </si>
  <si>
    <t>$4,500–$5,500/mo</t>
  </si>
  <si>
    <t>$243,000</t>
  </si>
  <si>
    <t>Forest / Green, Lakeside</t>
  </si>
  <si>
    <t>Nature-Centric, College Town, Quiet &amp; Residential</t>
  </si>
  <si>
    <t>Two top-tier teaching hospitals in a city of 50K — Gundersen Health and Mayo Clinic Health System. Driftless Region bluffs (Grandad Bluff, Hixon Forest 10 mi of trails) make this a rare Midwest hiking destination. Median home $258K.</t>
  </si>
  <si>
    <t>Mississippi River flooding; otherwise low</t>
  </si>
  <si>
    <t>Pinehurst</t>
  </si>
  <si>
    <t>$542,000</t>
  </si>
  <si>
    <t>Home of American Golf — Pinehurst Resort with 10 courses including #2 (Donald Ross masterpiece, US Open anchor site). 16 of NC's Top 100 courses in Pinehurst/Southern Pines. Already a retirement community: median age 60.6, 39% age 65+. Crime extraordinarily low.</t>
  </si>
  <si>
    <t>Sandhills inland; low exposure</t>
  </si>
  <si>
    <t>Bentonville</t>
  </si>
  <si>
    <t>Small City / Cultural / Ozarks</t>
  </si>
  <si>
    <t>$5,500–$6,900/mo</t>
  </si>
  <si>
    <t>$488,000</t>
  </si>
  <si>
    <t>Self-proclaimed Mountain Biking Capital of the World — 130+ miles of singletrack connected to downtown, IMBA Silver Ride Center. Crystal Bridges Museum (free, world-class American art) anchors a downtown that punches well above its size. Two James Beard 2025 finalists for Best Chef: South — only city in the category with two. Strong regional healthcare. Bella Vista 12 min north is the affordable retiree pick. Median home $300K–$500K (Bentonville $400K–$490K, Bella Vista ~$300K).</t>
  </si>
  <si>
    <t>NW-AR tornado/severe storms</t>
  </si>
  <si>
    <t>Boulder</t>
  </si>
  <si>
    <t>College Town / Mountain / Outdoor</t>
  </si>
  <si>
    <t>$8,000–$9,900/mo</t>
  </si>
  <si>
    <t>$964,000</t>
  </si>
  <si>
    <t>Nature-Centric, Arts &amp; Culture, College Town</t>
  </si>
  <si>
    <t>AARP Top 100 Place to Live for Older Adults (2025) — #6 mid-sized. Premier outdoor city in America — 300+ trail miles, 45,000 acres of community-funded protected Open Space (since 1967), the Flatirons. Pearl Street pedestrian mall, vibrant cultural and food scene, 300+ days of sunshine. Expensive ($800K–$1M median, COL 29% above national) but exceptional for active retirees who can afford it.</t>
  </si>
  <si>
    <t>Marshall Fire (1,000+ homes) + hail + wildfire-urban interface</t>
  </si>
  <si>
    <t>Salt Lake City</t>
  </si>
  <si>
    <t>Major Metro / Mountain</t>
  </si>
  <si>
    <t>$525,000</t>
  </si>
  <si>
    <t>Mountain, Urban / Metro</t>
  </si>
  <si>
    <t>Major Delta hub at the city's edge, 11 ski resorts within an hour, University of Utah Hospital #1 in Utah for 12 years running. Wasatch Front trails immediately accessible from the Avenues and East Bench. Winter air-quality inversions and Utah's tax on Social Security are the genuine tradeoffs.</t>
  </si>
  <si>
    <t>Wasatch Fault earthquake risk + air-quality inversions + water/drought</t>
  </si>
  <si>
    <t>New Orleans</t>
  </si>
  <si>
    <t>LA</t>
  </si>
  <si>
    <t>Major Metro / Historic / Cultural</t>
  </si>
  <si>
    <t>Urban / Metro, Lakeside</t>
  </si>
  <si>
    <t>Historic, Arts &amp; Culture, Live Music</t>
  </si>
  <si>
    <t>Cultural capital of the South — James Beard-tier dining, Mardi Gras, Jazz Fest, signature music scene. Ochsner #1 in Louisiana for 14 years running with geriatrics in nation's top 10%. Louisiana exempts Social Security and most pensions. Citywide median $267K but retirees target Garden District ($764K), Uptown, Lakeview, Metairie, Mandeville ($400K–$700K). Hurricane risk and citywide crime are the trade-offs.</t>
  </si>
  <si>
    <t>Coastal well above avg; flood insurance separate</t>
  </si>
  <si>
    <t>Hurricane + flooding + subsidence + levee dependence + insurance crisis</t>
  </si>
  <si>
    <t>Tulsa</t>
  </si>
  <si>
    <t>OK</t>
  </si>
  <si>
    <t>Major Metro / Cultural / Plains</t>
  </si>
  <si>
    <t>$194,000</t>
  </si>
  <si>
    <t>Arts &amp; Culture, Live Music, Historic</t>
  </si>
  <si>
    <t>Tulsa Arts District punches well above its size — Bob Dylan Center, Woody Guthrie Center, Philbrook Museum, plus the $465M Gathering Place (USA Today's "Best City Park"). Saint Francis Hospital #1 in Oklahoma with 19 high-performing procedures. Cost of living index ~85, one of the lowest nationally. Citywide median $245K but target neighborhoods (Brookside, Maple Ridge, South Tulsa, Bixby, Jenks) range $300K–$500K. Tornado risk and citywide crime are the trade-offs.</t>
  </si>
  <si>
    <t>Tornado Alley — tornado, giant hail, ice storms</t>
  </si>
  <si>
    <t>Burlington</t>
  </si>
  <si>
    <t>VT</t>
  </si>
  <si>
    <t>College Town / Lakeside / Outdoor</t>
  </si>
  <si>
    <t>$506,000</t>
  </si>
  <si>
    <t>College Town, Nature-Centric, Arts &amp; Culture</t>
  </si>
  <si>
    <t>Vermont's largest city — UVM and Champlain College anchor a walkable downtown with the Church Street Marketplace, Flynn Center for the Performing Arts, and signature New England food and craft beer culture. Lake Champlain on one side, the Green Mountains on the other, and four world-class ski resorts (Stowe, Sugarbush, Mad River Glen, Smuggler's Notch) within 45 minutes. UVM Medical Center is Vermont's only Level 1 Trauma Center and a Healthgrades America's 250 Best Hospital 2026. Vermont taxes Social Security and most retirement income with high property tax (1.42% effective) — among the worst tax-friendliness in the database. Citywide crime high (F-grade) but retiree-target areas (South Burlington, Shelburne, Williston, Hill Section) sit 75–95th percentile.</t>
  </si>
  <si>
    <t>Catastrophic July-2023 flooding; otherwise low exposure</t>
  </si>
  <si>
    <t>Traverse City</t>
  </si>
  <si>
    <t>Resort / Lakeside / Wine Country</t>
  </si>
  <si>
    <t>$420,000</t>
  </si>
  <si>
    <t>Nature-Centric, Resort / Golf, Arts &amp; Culture</t>
  </si>
  <si>
    <t>Voted "Most Beautiful Place in America" by Good Morning America (2011), Traverse City sits at the head of Grand Traverse Bay surrounded by 39 wineries on Old Mission and Leelanau Peninsulas (USA Today's #2 wine region 2022 &amp; 2023), Sleeping Bear Dunes National Lakeshore, and the world-class Interlochen Center for the Arts. Munson Medical Center #8 in Michigan with 18 high-performing procedures. Michigan completed its retirement tax repeal in 2026 — Social Security exempt, $132K joint retirement income deduction, flat 4.05%. 80" of annual snow and limited winter daylight are the trade-offs; many local retirees are snowbirds.</t>
  </si>
  <si>
    <t>Great Lakes; minimal catastrophic exposure</t>
  </si>
  <si>
    <t>Provincetown</t>
  </si>
  <si>
    <t>MA</t>
  </si>
  <si>
    <t>Coastal Resort / Arts Colony</t>
  </si>
  <si>
    <t>$8,000–$10,000/mo</t>
  </si>
  <si>
    <t>$924,000</t>
  </si>
  <si>
    <t>Arts &amp; Culture, Quiet &amp; Residential, Resort / Golf</t>
  </si>
  <si>
    <t>America's oldest continuous art colony and the "birthplace of Modern American Theater" — Provincetown sits at the very tip of Cape Cod where 73% of town land is protected as Cape Cod National Seashore. With a year-round population of just 3,656 (swelling past 60,000 in summer), this 3-mile-long peninsula village is the LGBTQ+ Welcoming capital of America (41% same-sex couples, highest in the nation), home to PAAM, the Provincetown Fine Arts Work Center, and a literary legacy spanning Tennessee Williams, Eugene O'Neill, and Norman Mailer. PeopleForBikes ranked Provincetown's network #1 in America. The trade-offs are severe: median single-family home $2.1M, no hospital within 50 miles, brutal seasonality, and Massachusetts's $2M estate tax cliff. This is an aesthetic and lifestyle commitment, not a value play.</t>
  </si>
  <si>
    <t>Outer Cape — coastal storms, surge, erosion, sea-level rise, isolation</t>
  </si>
  <si>
    <t>RetireMeHere — Scores by Dimension (Total = sum of D1+D2+D3+D5+D6+D7+D8+D9+D10)</t>
  </si>
  <si>
    <t>City / State</t>
  </si>
  <si>
    <t>D1 Airport</t>
  </si>
  <si>
    <t>D2 Budget</t>
  </si>
  <si>
    <t>D3 Healthcare</t>
  </si>
  <si>
    <t>D5 Tax</t>
  </si>
  <si>
    <t>D6 Walkability</t>
  </si>
  <si>
    <t>D7 Outdoor</t>
  </si>
  <si>
    <t>D8 Wellness</t>
  </si>
  <si>
    <t>D9 Safety</t>
  </si>
  <si>
    <t>D10 Community</t>
  </si>
  <si>
    <t>Total</t>
  </si>
  <si>
    <t>Naples, FL</t>
  </si>
  <si>
    <t>St. Petersburg, FL</t>
  </si>
  <si>
    <t>Tampa, FL</t>
  </si>
  <si>
    <t>Sarasota, FL</t>
  </si>
  <si>
    <t>Delray Beach, FL</t>
  </si>
  <si>
    <t>Scottsdale, AZ</t>
  </si>
  <si>
    <t>Knoxville, TN</t>
  </si>
  <si>
    <t>Frisco, TX</t>
  </si>
  <si>
    <t>Ann Arbor, MI</t>
  </si>
  <si>
    <t>Fayetteville, AR</t>
  </si>
  <si>
    <t>Charleston, SC</t>
  </si>
  <si>
    <t>Fort Myers, FL</t>
  </si>
  <si>
    <t>Nashville, TN</t>
  </si>
  <si>
    <t>Philadelphia, PA</t>
  </si>
  <si>
    <t>St. Augustine, FL</t>
  </si>
  <si>
    <t>Georgetown, TX</t>
  </si>
  <si>
    <t>St. Louis, MO</t>
  </si>
  <si>
    <t>Chattanooga, TN</t>
  </si>
  <si>
    <t>Tucson, AZ</t>
  </si>
  <si>
    <t>San Antonio, TX</t>
  </si>
  <si>
    <t>Bend, OR</t>
  </si>
  <si>
    <t>St. Paul, MN</t>
  </si>
  <si>
    <t>Jackson Hole, WY</t>
  </si>
  <si>
    <t>Sioux Falls, SD</t>
  </si>
  <si>
    <t>Las Vegas, NV</t>
  </si>
  <si>
    <t>Spokane, WA</t>
  </si>
  <si>
    <t>Fort Collins, CO</t>
  </si>
  <si>
    <t>Raleigh, NC</t>
  </si>
  <si>
    <t>Fort Worth, TX</t>
  </si>
  <si>
    <t>Pittsburgh, PA</t>
  </si>
  <si>
    <t>Columbus, OH</t>
  </si>
  <si>
    <t>Lexington, KY</t>
  </si>
  <si>
    <t>Alexandria, VA</t>
  </si>
  <si>
    <t>Pensacola, FL</t>
  </si>
  <si>
    <t>Des Moines, IA</t>
  </si>
  <si>
    <t>Casper, WY</t>
  </si>
  <si>
    <t>Roanoke, VA</t>
  </si>
  <si>
    <t>Greenville, SC</t>
  </si>
  <si>
    <t>St. George, UT</t>
  </si>
  <si>
    <t>Virginia Beach, VA</t>
  </si>
  <si>
    <t>Portland, ME</t>
  </si>
  <si>
    <t>Wilmington, DE</t>
  </si>
  <si>
    <t>Beaufort, NC</t>
  </si>
  <si>
    <t>Park City, UT</t>
  </si>
  <si>
    <t>Vail, CO</t>
  </si>
  <si>
    <t>Memphis, TN</t>
  </si>
  <si>
    <t>Asheville, NC</t>
  </si>
  <si>
    <t>Colorado Springs, CO</t>
  </si>
  <si>
    <t>Madison, WI</t>
  </si>
  <si>
    <t>Boise, ID</t>
  </si>
  <si>
    <t>Rehoboth Beach, DE</t>
  </si>
  <si>
    <t>Charlottesville, VA</t>
  </si>
  <si>
    <t>Coeur d’Alène, ID</t>
  </si>
  <si>
    <t>Nashua, NH</t>
  </si>
  <si>
    <t>Annapolis, MD</t>
  </si>
  <si>
    <t>Santa Barbara, CA</t>
  </si>
  <si>
    <t>Whitefish, MT</t>
  </si>
  <si>
    <t>Bloomington, IN</t>
  </si>
  <si>
    <t>Bozeman, MT</t>
  </si>
  <si>
    <t>Grand Junction, CO</t>
  </si>
  <si>
    <t>Kansas City, MO</t>
  </si>
  <si>
    <t>Sun Valley, ID</t>
  </si>
  <si>
    <t>Savannah, GA</t>
  </si>
  <si>
    <t>Santa Fe, NM</t>
  </si>
  <si>
    <t>Johnson City, TN</t>
  </si>
  <si>
    <t>Prescott, AZ</t>
  </si>
  <si>
    <t>Indianapolis, IN</t>
  </si>
  <si>
    <t>Hilton Head, SC</t>
  </si>
  <si>
    <t>Fairhope, AL</t>
  </si>
  <si>
    <t>Saratoga Springs, NY</t>
  </si>
  <si>
    <t>Silver Spring, MD</t>
  </si>
  <si>
    <t>Carmel-by-the-Sea, CA</t>
  </si>
  <si>
    <t>Rio Rancho, NM</t>
  </si>
  <si>
    <t>Durango, CO</t>
  </si>
  <si>
    <t>Steamboat Springs, CO</t>
  </si>
  <si>
    <t>Wilmington, NC</t>
  </si>
  <si>
    <t>Eugene, OR</t>
  </si>
  <si>
    <t>Paducah, KY</t>
  </si>
  <si>
    <t>Hot Springs, AR</t>
  </si>
  <si>
    <t>Carlsbad, CA</t>
  </si>
  <si>
    <t>Flagstaff, AZ</t>
  </si>
  <si>
    <t>Sedona, AZ</t>
  </si>
  <si>
    <t>Missoula, MT</t>
  </si>
  <si>
    <t>Palm Springs, CA</t>
  </si>
  <si>
    <t>Napa, CA</t>
  </si>
  <si>
    <t>Corpus Christi, TX</t>
  </si>
  <si>
    <t>RetireMeHere — Cities by Budget Range</t>
  </si>
  <si>
    <t>Range 1 — Most Affordable (Under $5,500/mo)</t>
  </si>
  <si>
    <t>State</t>
  </si>
  <si>
    <t>Total Score</t>
  </si>
  <si>
    <t>Range 2 — Affordable ($5,500–$6,499/mo)</t>
  </si>
  <si>
    <t>Range 3 — Mid-Range ($6,500–$7,499/mo)</t>
  </si>
  <si>
    <t>Range 4 — Premium ($7,500–$8,999/mo)</t>
  </si>
  <si>
    <t>Range 5 — Luxury ($9,000+/mo)</t>
  </si>
  <si>
    <t>RetireMeHere — City Scoring Log (track cities being researched)</t>
  </si>
  <si>
    <t>Budget Range</t>
  </si>
  <si>
    <t>Date Added</t>
  </si>
  <si>
    <t>Notes</t>
  </si>
  <si>
    <t>RetireMeHere — Parked Cities (retained scoring for later build-out)</t>
  </si>
  <si>
    <t>The Woodlands</t>
  </si>
  <si>
    <t>Master-Planned Community</t>
  </si>
  <si>
    <t>$5,500–$7,500/mo</t>
  </si>
  <si>
    <t>$474,000</t>
  </si>
  <si>
    <t>Ranked #4 US News Best Places to Retire 2026 — The Woodlands is one of America’s most successful master-planned communities with 220 miles of trails, no Texas income tax, and 40-minute access to the world’s largest medical complex.</t>
  </si>
  <si>
    <t>Note: The Woodlands parked 2026-06-06 — master-planned communities category sequenced later per ROADMAP.md. Scores retained as of v12 (April 2026); re-verify before activation.</t>
  </si>
</sst>
</file>

<file path=xl/styles.xml><?xml version="1.0" encoding="utf-8"?>
<styleSheet xmlns="http://schemas.openxmlformats.org/spreadsheetml/2006/main">
  <numFmts count="2">
    <numFmt numFmtId="0" formatCode="General"/>
    <numFmt numFmtId="59" formatCode="&quot;$&quot;#,##0.00"/>
  </numFmts>
  <fonts count="6">
    <font>
      <sz val="11"/>
      <color indexed="8"/>
      <name val="Calibri"/>
    </font>
    <font>
      <sz val="12"/>
      <color indexed="8"/>
      <name val="Helvetica Neue"/>
    </font>
    <font>
      <sz val="15"/>
      <color indexed="8"/>
      <name val="Calibri"/>
    </font>
    <font>
      <b val="1"/>
      <sz val="14"/>
      <color indexed="8"/>
      <name val="Calibri"/>
    </font>
    <font>
      <b val="1"/>
      <sz val="11"/>
      <color indexed="8"/>
      <name val="Calibri"/>
    </font>
    <font>
      <b val="1"/>
      <sz val="12"/>
      <color indexed="8"/>
      <name val="Calibri"/>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2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xf>
    <xf numFmtId="49" fontId="3" fillId="2" borderId="1" applyNumberFormat="1" applyFont="1" applyFill="1" applyBorder="1" applyAlignment="1" applyProtection="0">
      <alignment vertical="bottom"/>
    </xf>
    <xf numFmtId="49" fontId="0" fillId="2" borderId="1" applyNumberFormat="1" applyFont="1" applyFill="1" applyBorder="1" applyAlignment="1" applyProtection="0">
      <alignment vertical="bottom"/>
    </xf>
    <xf numFmtId="0" fontId="0" borderId="1" applyNumberFormat="0" applyFont="1" applyFill="0" applyBorder="1" applyAlignment="1" applyProtection="0">
      <alignment vertical="bottom"/>
    </xf>
    <xf numFmtId="49" fontId="4" fillId="2" borderId="1" applyNumberFormat="1" applyFont="1" applyFill="1" applyBorder="1" applyAlignment="1" applyProtection="0">
      <alignment horizontal="center" vertical="center" wrapText="1"/>
    </xf>
    <xf numFmtId="0" fontId="0" fillId="2" borderId="1" applyNumberFormat="1" applyFont="1" applyFill="1" applyBorder="1" applyAlignment="1" applyProtection="0">
      <alignment vertical="bottom"/>
    </xf>
    <xf numFmtId="0" fontId="0" fillId="2" borderId="1" applyNumberFormat="1" applyFont="1" applyFill="1" applyBorder="1" applyAlignment="1" applyProtection="0">
      <alignment horizontal="center" vertical="center"/>
    </xf>
    <xf numFmtId="0" fontId="0"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5" fillId="2" borderId="1" applyNumberFormat="1" applyFont="1" applyFill="1" applyBorder="1" applyAlignment="1" applyProtection="0">
      <alignment vertical="bottom"/>
    </xf>
    <xf numFmtId="49" fontId="4" fillId="2" borderId="1" applyNumberFormat="1" applyFont="1" applyFill="1" applyBorder="1" applyAlignment="1" applyProtection="0">
      <alignment vertical="bottom"/>
    </xf>
    <xf numFmtId="0" fontId="4" fillId="2" borderId="1" applyNumberFormat="1" applyFont="1" applyFill="1" applyBorder="1" applyAlignment="1" applyProtection="0">
      <alignment vertical="bottom"/>
    </xf>
    <xf numFmtId="59" fontId="0" fillId="2" borderId="1"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dimension ref="A1:AC101"/>
  <sheetViews>
    <sheetView workbookViewId="0" showGridLines="0" defaultGridColor="1"/>
  </sheetViews>
  <sheetFormatPr defaultColWidth="8.66667" defaultRowHeight="15" customHeight="1" outlineLevelRow="0" outlineLevelCol="0"/>
  <cols>
    <col min="1" max="1" width="4" style="1" customWidth="1"/>
    <col min="2" max="2" width="20" style="1" customWidth="1"/>
    <col min="3" max="3" width="4" style="1" customWidth="1"/>
    <col min="4" max="4" width="27" style="1" customWidth="1"/>
    <col min="5" max="5" width="8" style="1" customWidth="1"/>
    <col min="6" max="7" width="22" style="1" customWidth="1"/>
    <col min="8" max="19" width="9" style="1" customWidth="1"/>
    <col min="20" max="20" width="32" style="1" customWidth="1"/>
    <col min="21" max="21" width="38" style="1" customWidth="1"/>
    <col min="22" max="22" width="70" style="1" customWidth="1"/>
    <col min="23" max="27" width="8.67188" style="1" customWidth="1"/>
    <col min="28" max="28" width="9" style="1" customWidth="1"/>
    <col min="29" max="29" width="60" style="1" customWidth="1"/>
    <col min="30" max="16384" width="8.67188" style="1" customWidth="1"/>
  </cols>
  <sheetData>
    <row r="1" ht="17.25" customHeight="1">
      <c r="A1" s="2"/>
      <c r="B1" t="s" s="3">
        <v>0</v>
      </c>
      <c r="C1" s="2"/>
      <c r="D1" s="2"/>
      <c r="E1" s="2"/>
      <c r="F1" s="2"/>
      <c r="G1" s="2"/>
      <c r="H1" t="s" s="4">
        <v>1</v>
      </c>
      <c r="I1" s="2"/>
      <c r="J1" s="2"/>
      <c r="K1" s="2"/>
      <c r="L1" s="2"/>
      <c r="M1" s="2"/>
      <c r="N1" s="2"/>
      <c r="O1" s="2"/>
      <c r="P1" s="2"/>
      <c r="Q1" s="2"/>
      <c r="R1" s="2"/>
      <c r="S1" s="2"/>
      <c r="T1" s="2"/>
      <c r="U1" s="2"/>
      <c r="V1" s="2"/>
      <c r="W1" s="5"/>
      <c r="X1" s="5"/>
      <c r="Y1" s="5"/>
      <c r="Z1" s="5"/>
      <c r="AA1" s="5"/>
      <c r="AB1" s="2"/>
      <c r="AC1" s="2"/>
    </row>
    <row r="2" ht="31.5" customHeight="1">
      <c r="A2" t="s" s="6">
        <v>2</v>
      </c>
      <c r="B2" t="s" s="6">
        <v>3</v>
      </c>
      <c r="C2" t="s" s="6">
        <v>4</v>
      </c>
      <c r="D2" t="s" s="6">
        <v>5</v>
      </c>
      <c r="E2" t="s" s="6">
        <v>6</v>
      </c>
      <c r="F2" t="s" s="6">
        <v>7</v>
      </c>
      <c r="G2" t="s" s="6">
        <v>8</v>
      </c>
      <c r="H2" t="s" s="6">
        <v>9</v>
      </c>
      <c r="I2" t="s" s="6">
        <v>10</v>
      </c>
      <c r="J2" t="s" s="6">
        <v>11</v>
      </c>
      <c r="K2" t="s" s="6">
        <v>12</v>
      </c>
      <c r="L2" t="s" s="6">
        <v>13</v>
      </c>
      <c r="M2" t="s" s="6">
        <v>14</v>
      </c>
      <c r="N2" t="s" s="6">
        <v>15</v>
      </c>
      <c r="O2" t="s" s="6">
        <v>16</v>
      </c>
      <c r="P2" t="s" s="6">
        <v>17</v>
      </c>
      <c r="Q2" t="s" s="6">
        <v>18</v>
      </c>
      <c r="R2" t="s" s="6">
        <v>19</v>
      </c>
      <c r="S2" t="s" s="6">
        <v>20</v>
      </c>
      <c r="T2" t="s" s="6">
        <v>21</v>
      </c>
      <c r="U2" t="s" s="6">
        <v>22</v>
      </c>
      <c r="V2" t="s" s="6">
        <v>23</v>
      </c>
      <c r="W2" t="s" s="6">
        <v>24</v>
      </c>
      <c r="X2" t="s" s="6">
        <v>25</v>
      </c>
      <c r="Y2" t="s" s="6">
        <v>26</v>
      </c>
      <c r="Z2" t="s" s="6">
        <v>27</v>
      </c>
      <c r="AA2" t="s" s="6">
        <v>28</v>
      </c>
      <c r="AB2" t="s" s="6">
        <v>29</v>
      </c>
      <c r="AC2" t="s" s="6">
        <v>30</v>
      </c>
    </row>
    <row r="3" ht="15" customHeight="1">
      <c r="A3" s="7">
        <v>1</v>
      </c>
      <c r="B3" t="s" s="4">
        <v>31</v>
      </c>
      <c r="C3" t="s" s="4">
        <v>32</v>
      </c>
      <c r="D3" t="s" s="4">
        <v>33</v>
      </c>
      <c r="E3" s="7">
        <v>2</v>
      </c>
      <c r="F3" t="s" s="4">
        <v>34</v>
      </c>
      <c r="G3" t="s" s="4">
        <v>35</v>
      </c>
      <c r="H3" s="7">
        <v>4</v>
      </c>
      <c r="I3" s="7">
        <v>5</v>
      </c>
      <c r="J3" s="7">
        <v>6</v>
      </c>
      <c r="K3" s="7">
        <v>7</v>
      </c>
      <c r="L3" s="7">
        <v>7</v>
      </c>
      <c r="M3" s="7">
        <v>6</v>
      </c>
      <c r="N3" s="7">
        <v>5</v>
      </c>
      <c r="O3" s="7">
        <v>7</v>
      </c>
      <c r="P3" s="7">
        <v>7</v>
      </c>
      <c r="Q3" s="7">
        <v>7</v>
      </c>
      <c r="R3" s="7">
        <v>4</v>
      </c>
      <c r="S3" s="7">
        <v>3</v>
      </c>
      <c r="T3" t="s" s="4">
        <v>36</v>
      </c>
      <c r="U3" t="s" s="4">
        <v>37</v>
      </c>
      <c r="V3" t="s" s="4">
        <v>38</v>
      </c>
      <c r="W3" s="8">
        <v>10</v>
      </c>
      <c r="X3" s="8">
        <v>7</v>
      </c>
      <c r="Y3" s="9">
        <v>0.37</v>
      </c>
      <c r="Z3" s="9">
        <v>3633</v>
      </c>
      <c r="AA3" s="5"/>
      <c r="AB3" s="7">
        <v>3</v>
      </c>
      <c r="AC3" t="s" s="4">
        <v>39</v>
      </c>
    </row>
    <row r="4" ht="15" customHeight="1">
      <c r="A4" s="7">
        <v>2</v>
      </c>
      <c r="B4" t="s" s="4">
        <v>40</v>
      </c>
      <c r="C4" t="s" s="4">
        <v>41</v>
      </c>
      <c r="D4" t="s" s="4">
        <v>42</v>
      </c>
      <c r="E4" s="7">
        <v>1</v>
      </c>
      <c r="F4" t="s" s="4">
        <v>43</v>
      </c>
      <c r="G4" t="s" s="4">
        <v>44</v>
      </c>
      <c r="H4" s="7">
        <v>6</v>
      </c>
      <c r="I4" s="7">
        <v>8</v>
      </c>
      <c r="J4" s="7">
        <v>8</v>
      </c>
      <c r="K4" s="7">
        <v>7</v>
      </c>
      <c r="L4" s="7">
        <v>6</v>
      </c>
      <c r="M4" s="7">
        <v>8</v>
      </c>
      <c r="N4" s="7">
        <v>7</v>
      </c>
      <c r="O4" s="7">
        <v>7</v>
      </c>
      <c r="P4" s="7">
        <v>8</v>
      </c>
      <c r="Q4" s="7">
        <v>5</v>
      </c>
      <c r="R4" s="7">
        <v>6</v>
      </c>
      <c r="S4" s="7">
        <v>4</v>
      </c>
      <c r="T4" t="s" s="4">
        <v>45</v>
      </c>
      <c r="U4" t="s" s="4">
        <v>46</v>
      </c>
      <c r="V4" t="s" s="4">
        <v>47</v>
      </c>
      <c r="W4" s="8">
        <v>7</v>
      </c>
      <c r="X4" s="8">
        <v>7</v>
      </c>
      <c r="Y4" s="9">
        <v>0.5600000000000001</v>
      </c>
      <c r="Z4" s="9">
        <v>3733</v>
      </c>
      <c r="AA4" s="5"/>
      <c r="AB4" s="7">
        <v>6</v>
      </c>
      <c r="AC4" t="s" s="4">
        <v>48</v>
      </c>
    </row>
    <row r="5" ht="15" customHeight="1">
      <c r="A5" s="7">
        <v>3</v>
      </c>
      <c r="B5" t="s" s="4">
        <v>49</v>
      </c>
      <c r="C5" t="s" s="4">
        <v>41</v>
      </c>
      <c r="D5" t="s" s="4">
        <v>50</v>
      </c>
      <c r="E5" s="7">
        <v>1</v>
      </c>
      <c r="F5" t="s" s="4">
        <v>51</v>
      </c>
      <c r="G5" t="s" s="4">
        <v>52</v>
      </c>
      <c r="H5" s="7">
        <v>4</v>
      </c>
      <c r="I5" s="7">
        <v>9</v>
      </c>
      <c r="J5" s="7">
        <v>5</v>
      </c>
      <c r="K5" s="7">
        <v>7</v>
      </c>
      <c r="L5" s="7">
        <v>5</v>
      </c>
      <c r="M5" s="7">
        <v>6</v>
      </c>
      <c r="N5" s="7">
        <v>5</v>
      </c>
      <c r="O5" s="7">
        <v>5</v>
      </c>
      <c r="P5" s="7">
        <v>6</v>
      </c>
      <c r="Q5" s="7">
        <v>5</v>
      </c>
      <c r="R5" s="7">
        <v>8</v>
      </c>
      <c r="S5" s="7">
        <v>5</v>
      </c>
      <c r="T5" t="s" s="4">
        <v>53</v>
      </c>
      <c r="U5" t="s" s="4">
        <v>54</v>
      </c>
      <c r="V5" t="s" s="4">
        <v>55</v>
      </c>
      <c r="W5" s="8">
        <v>8</v>
      </c>
      <c r="X5" s="8">
        <v>7</v>
      </c>
      <c r="Y5" s="9">
        <v>0.5600000000000001</v>
      </c>
      <c r="Z5" s="9">
        <v>3733</v>
      </c>
      <c r="AA5" s="5"/>
      <c r="AB5" s="7">
        <v>6</v>
      </c>
      <c r="AC5" t="s" s="4">
        <v>56</v>
      </c>
    </row>
    <row r="6" ht="15" customHeight="1">
      <c r="A6" s="7">
        <v>4</v>
      </c>
      <c r="B6" t="s" s="4">
        <v>57</v>
      </c>
      <c r="C6" t="s" s="4">
        <v>58</v>
      </c>
      <c r="D6" t="s" s="4">
        <v>59</v>
      </c>
      <c r="E6" s="7">
        <v>3</v>
      </c>
      <c r="F6" t="s" s="4">
        <v>60</v>
      </c>
      <c r="G6" t="s" s="4">
        <v>61</v>
      </c>
      <c r="H6" s="7">
        <v>3</v>
      </c>
      <c r="I6" s="7">
        <v>3</v>
      </c>
      <c r="J6" s="7">
        <v>4</v>
      </c>
      <c r="K6" s="7">
        <v>8</v>
      </c>
      <c r="L6" s="7">
        <v>6</v>
      </c>
      <c r="M6" s="7">
        <v>10</v>
      </c>
      <c r="N6" s="7">
        <v>5</v>
      </c>
      <c r="O6" s="7">
        <v>5</v>
      </c>
      <c r="P6" s="7">
        <v>7</v>
      </c>
      <c r="Q6" s="7">
        <v>4</v>
      </c>
      <c r="R6" s="7">
        <v>9</v>
      </c>
      <c r="S6" s="7">
        <v>7</v>
      </c>
      <c r="T6" t="s" s="4">
        <v>62</v>
      </c>
      <c r="U6" t="s" s="4">
        <v>63</v>
      </c>
      <c r="V6" t="s" s="4">
        <v>64</v>
      </c>
      <c r="W6" s="8">
        <v>4</v>
      </c>
      <c r="X6" s="8">
        <v>3</v>
      </c>
      <c r="Y6" s="9">
        <v>0.48</v>
      </c>
      <c r="Z6" s="9">
        <v>2344</v>
      </c>
      <c r="AA6" s="5"/>
      <c r="AB6" s="7">
        <v>5</v>
      </c>
      <c r="AC6" t="s" s="4">
        <v>65</v>
      </c>
    </row>
    <row r="7" ht="15" customHeight="1">
      <c r="A7" s="7">
        <v>5</v>
      </c>
      <c r="B7" t="s" s="4">
        <v>66</v>
      </c>
      <c r="C7" t="s" s="4">
        <v>58</v>
      </c>
      <c r="D7" t="s" s="4">
        <v>67</v>
      </c>
      <c r="E7" s="7">
        <v>3</v>
      </c>
      <c r="F7" t="s" s="4">
        <v>68</v>
      </c>
      <c r="G7" t="s" s="4">
        <v>69</v>
      </c>
      <c r="H7" s="7">
        <v>3</v>
      </c>
      <c r="I7" s="7">
        <v>4</v>
      </c>
      <c r="J7" s="7">
        <v>5</v>
      </c>
      <c r="K7" s="7">
        <v>8</v>
      </c>
      <c r="L7" s="7">
        <v>6</v>
      </c>
      <c r="M7" s="7">
        <v>8</v>
      </c>
      <c r="N7" s="7">
        <v>7</v>
      </c>
      <c r="O7" s="7">
        <v>7</v>
      </c>
      <c r="P7" s="7">
        <v>7</v>
      </c>
      <c r="Q7" s="7">
        <v>6</v>
      </c>
      <c r="R7" s="7">
        <v>5</v>
      </c>
      <c r="S7" s="7">
        <v>9</v>
      </c>
      <c r="T7" t="s" s="4">
        <v>70</v>
      </c>
      <c r="U7" t="s" s="4">
        <v>71</v>
      </c>
      <c r="V7" t="s" s="4">
        <v>72</v>
      </c>
      <c r="W7" s="8">
        <v>3</v>
      </c>
      <c r="X7" s="8">
        <v>5</v>
      </c>
      <c r="Y7" s="9">
        <v>0.48</v>
      </c>
      <c r="Z7" s="9">
        <v>2344</v>
      </c>
      <c r="AA7" s="5"/>
      <c r="AB7" s="7">
        <v>5</v>
      </c>
      <c r="AC7" t="s" s="4">
        <v>73</v>
      </c>
    </row>
    <row r="8" ht="15" customHeight="1">
      <c r="A8" s="7">
        <v>6</v>
      </c>
      <c r="B8" t="s" s="4">
        <v>74</v>
      </c>
      <c r="C8" t="s" s="4">
        <v>58</v>
      </c>
      <c r="D8" t="s" s="4">
        <v>75</v>
      </c>
      <c r="E8" s="7">
        <v>4</v>
      </c>
      <c r="F8" t="s" s="4">
        <v>76</v>
      </c>
      <c r="G8" t="s" s="4">
        <v>77</v>
      </c>
      <c r="H8" s="7">
        <v>9</v>
      </c>
      <c r="I8" s="7">
        <v>3</v>
      </c>
      <c r="J8" s="7">
        <v>10</v>
      </c>
      <c r="K8" s="7">
        <v>8</v>
      </c>
      <c r="L8" s="7">
        <v>4</v>
      </c>
      <c r="M8" s="7">
        <v>8</v>
      </c>
      <c r="N8" s="7">
        <v>10</v>
      </c>
      <c r="O8" s="7">
        <v>6</v>
      </c>
      <c r="P8" s="7">
        <v>8</v>
      </c>
      <c r="Q8" s="7">
        <v>8</v>
      </c>
      <c r="R8" s="7">
        <v>1</v>
      </c>
      <c r="S8" s="7">
        <v>10</v>
      </c>
      <c r="T8" t="s" s="4">
        <v>78</v>
      </c>
      <c r="U8" t="s" s="4">
        <v>79</v>
      </c>
      <c r="V8" t="s" s="4">
        <v>80</v>
      </c>
      <c r="W8" s="8">
        <v>1</v>
      </c>
      <c r="X8" s="8">
        <v>10</v>
      </c>
      <c r="Y8" s="9">
        <v>0.48</v>
      </c>
      <c r="Z8" s="9">
        <v>2344</v>
      </c>
      <c r="AA8" s="5"/>
      <c r="AB8" s="7">
        <v>4</v>
      </c>
      <c r="AC8" t="s" s="4">
        <v>81</v>
      </c>
    </row>
    <row r="9" ht="15" customHeight="1">
      <c r="A9" s="7">
        <v>7</v>
      </c>
      <c r="B9" t="s" s="4">
        <v>82</v>
      </c>
      <c r="C9" t="s" s="4">
        <v>58</v>
      </c>
      <c r="D9" t="s" s="4">
        <v>83</v>
      </c>
      <c r="E9" s="7">
        <v>4</v>
      </c>
      <c r="F9" t="s" s="4">
        <v>84</v>
      </c>
      <c r="G9" t="s" s="4">
        <v>85</v>
      </c>
      <c r="H9" s="7">
        <v>3</v>
      </c>
      <c r="I9" s="7">
        <v>2</v>
      </c>
      <c r="J9" s="7">
        <v>4</v>
      </c>
      <c r="K9" s="7">
        <v>8</v>
      </c>
      <c r="L9" s="7">
        <v>4</v>
      </c>
      <c r="M9" s="7">
        <v>9</v>
      </c>
      <c r="N9" s="7">
        <v>6</v>
      </c>
      <c r="O9" s="7">
        <v>8</v>
      </c>
      <c r="P9" s="7">
        <v>7</v>
      </c>
      <c r="Q9" s="7">
        <v>7</v>
      </c>
      <c r="R9" s="7">
        <v>3</v>
      </c>
      <c r="S9" s="7">
        <v>8</v>
      </c>
      <c r="T9" t="s" s="4">
        <v>62</v>
      </c>
      <c r="U9" t="s" s="4">
        <v>86</v>
      </c>
      <c r="V9" t="s" s="4">
        <v>87</v>
      </c>
      <c r="W9" s="8">
        <v>2</v>
      </c>
      <c r="X9" s="8">
        <v>8</v>
      </c>
      <c r="Y9" s="9">
        <v>0.48</v>
      </c>
      <c r="Z9" s="9">
        <v>2344</v>
      </c>
      <c r="AA9" s="5"/>
      <c r="AB9" s="7">
        <v>4</v>
      </c>
      <c r="AC9" t="s" s="4">
        <v>88</v>
      </c>
    </row>
    <row r="10" ht="15" customHeight="1">
      <c r="A10" s="7">
        <v>8</v>
      </c>
      <c r="B10" t="s" s="4">
        <v>89</v>
      </c>
      <c r="C10" t="s" s="4">
        <v>58</v>
      </c>
      <c r="D10" t="s" s="4">
        <v>90</v>
      </c>
      <c r="E10" s="7">
        <v>1</v>
      </c>
      <c r="F10" t="s" s="4">
        <v>91</v>
      </c>
      <c r="G10" t="s" s="4">
        <v>92</v>
      </c>
      <c r="H10" s="7">
        <v>6</v>
      </c>
      <c r="I10" s="7">
        <v>8</v>
      </c>
      <c r="J10" s="7">
        <v>8</v>
      </c>
      <c r="K10" s="7">
        <v>8</v>
      </c>
      <c r="L10" s="7">
        <v>4</v>
      </c>
      <c r="M10" s="7">
        <v>9</v>
      </c>
      <c r="N10" s="7">
        <v>7</v>
      </c>
      <c r="O10" s="7">
        <v>5</v>
      </c>
      <c r="P10" s="7">
        <v>8</v>
      </c>
      <c r="Q10" s="7">
        <v>8</v>
      </c>
      <c r="R10" s="7">
        <v>2</v>
      </c>
      <c r="S10" s="7">
        <v>9</v>
      </c>
      <c r="T10" t="s" s="4">
        <v>62</v>
      </c>
      <c r="U10" t="s" s="4">
        <v>93</v>
      </c>
      <c r="V10" t="s" s="4">
        <v>94</v>
      </c>
      <c r="W10" s="8">
        <v>2</v>
      </c>
      <c r="X10" s="8">
        <v>9</v>
      </c>
      <c r="Y10" s="9">
        <v>0.48</v>
      </c>
      <c r="Z10" s="9">
        <v>2344</v>
      </c>
      <c r="AA10" s="5"/>
      <c r="AB10" s="7">
        <v>4</v>
      </c>
      <c r="AC10" t="s" s="4">
        <v>95</v>
      </c>
    </row>
    <row r="11" ht="15" customHeight="1">
      <c r="A11" s="7">
        <v>9</v>
      </c>
      <c r="B11" t="s" s="4">
        <v>96</v>
      </c>
      <c r="C11" t="s" s="4">
        <v>97</v>
      </c>
      <c r="D11" t="s" s="4">
        <v>98</v>
      </c>
      <c r="E11" s="7">
        <v>5</v>
      </c>
      <c r="F11" t="s" s="4">
        <v>99</v>
      </c>
      <c r="G11" t="s" s="4">
        <v>100</v>
      </c>
      <c r="H11" s="7">
        <v>6</v>
      </c>
      <c r="I11" s="7">
        <v>1</v>
      </c>
      <c r="J11" s="7">
        <v>9</v>
      </c>
      <c r="K11" s="7">
        <v>2</v>
      </c>
      <c r="L11" s="7">
        <v>5</v>
      </c>
      <c r="M11" s="7">
        <v>8</v>
      </c>
      <c r="N11" s="7">
        <v>7</v>
      </c>
      <c r="O11" s="7">
        <v>6</v>
      </c>
      <c r="P11" s="7">
        <v>7</v>
      </c>
      <c r="Q11" s="7">
        <v>9</v>
      </c>
      <c r="R11" s="7">
        <v>10</v>
      </c>
      <c r="S11" s="7">
        <v>9</v>
      </c>
      <c r="T11" t="s" s="4">
        <v>101</v>
      </c>
      <c r="U11" t="s" s="4">
        <v>102</v>
      </c>
      <c r="V11" t="s" s="4">
        <v>103</v>
      </c>
      <c r="W11" s="8">
        <v>5</v>
      </c>
      <c r="X11" s="8">
        <v>2</v>
      </c>
      <c r="Y11" s="9">
        <v>0.7</v>
      </c>
      <c r="Z11" s="9">
        <v>1616</v>
      </c>
      <c r="AA11" t="s" s="10">
        <v>104</v>
      </c>
      <c r="AB11" s="7">
        <v>5</v>
      </c>
      <c r="AC11" t="s" s="4">
        <v>105</v>
      </c>
    </row>
    <row r="12" ht="15" customHeight="1">
      <c r="A12" s="7">
        <v>10</v>
      </c>
      <c r="B12" t="s" s="4">
        <v>106</v>
      </c>
      <c r="C12" t="s" s="4">
        <v>97</v>
      </c>
      <c r="D12" t="s" s="4">
        <v>107</v>
      </c>
      <c r="E12" s="7">
        <v>5</v>
      </c>
      <c r="F12" t="s" s="4">
        <v>108</v>
      </c>
      <c r="G12" t="s" s="4">
        <v>109</v>
      </c>
      <c r="H12" s="7">
        <v>6</v>
      </c>
      <c r="I12" s="7">
        <v>1</v>
      </c>
      <c r="J12" s="7">
        <v>6</v>
      </c>
      <c r="K12" s="7">
        <v>2</v>
      </c>
      <c r="L12" s="7">
        <v>8</v>
      </c>
      <c r="M12" s="7">
        <v>8</v>
      </c>
      <c r="N12" s="7">
        <v>6</v>
      </c>
      <c r="O12" s="7">
        <v>9</v>
      </c>
      <c r="P12" s="7">
        <v>8</v>
      </c>
      <c r="Q12" s="7">
        <v>8</v>
      </c>
      <c r="R12" s="7">
        <v>6</v>
      </c>
      <c r="S12" s="7">
        <v>9</v>
      </c>
      <c r="T12" t="s" s="4">
        <v>101</v>
      </c>
      <c r="U12" t="s" s="4">
        <v>110</v>
      </c>
      <c r="V12" t="s" s="4">
        <v>111</v>
      </c>
      <c r="W12" s="8">
        <v>5</v>
      </c>
      <c r="X12" s="8">
        <v>2</v>
      </c>
      <c r="Y12" s="9">
        <v>0.7</v>
      </c>
      <c r="Z12" s="9">
        <v>1616</v>
      </c>
      <c r="AA12" t="s" s="10">
        <v>104</v>
      </c>
      <c r="AB12" s="7">
        <v>4</v>
      </c>
      <c r="AC12" t="s" s="4">
        <v>112</v>
      </c>
    </row>
    <row r="13" ht="15" customHeight="1">
      <c r="A13" s="7">
        <v>11</v>
      </c>
      <c r="B13" t="s" s="4">
        <v>113</v>
      </c>
      <c r="C13" t="s" s="4">
        <v>97</v>
      </c>
      <c r="D13" t="s" s="4">
        <v>114</v>
      </c>
      <c r="E13" s="7">
        <v>4</v>
      </c>
      <c r="F13" t="s" s="4">
        <v>115</v>
      </c>
      <c r="G13" t="s" s="4">
        <v>85</v>
      </c>
      <c r="H13" s="7">
        <v>6</v>
      </c>
      <c r="I13" s="7">
        <v>2</v>
      </c>
      <c r="J13" s="7">
        <v>6</v>
      </c>
      <c r="K13" s="7">
        <v>2</v>
      </c>
      <c r="L13" s="7">
        <v>6</v>
      </c>
      <c r="M13" s="7">
        <v>6</v>
      </c>
      <c r="N13" s="7">
        <v>6</v>
      </c>
      <c r="O13" s="7">
        <v>7</v>
      </c>
      <c r="P13" s="7">
        <v>8</v>
      </c>
      <c r="Q13" s="7">
        <v>7</v>
      </c>
      <c r="R13" s="7">
        <v>6</v>
      </c>
      <c r="S13" s="7">
        <v>8</v>
      </c>
      <c r="T13" t="s" s="4">
        <v>70</v>
      </c>
      <c r="U13" t="s" s="4">
        <v>110</v>
      </c>
      <c r="V13" t="s" s="4">
        <v>116</v>
      </c>
      <c r="W13" s="8">
        <v>4</v>
      </c>
      <c r="X13" s="8">
        <v>6</v>
      </c>
      <c r="Y13" s="9">
        <v>0.7</v>
      </c>
      <c r="Z13" s="9">
        <v>1616</v>
      </c>
      <c r="AA13" t="s" s="10">
        <v>104</v>
      </c>
      <c r="AB13" s="7">
        <v>3</v>
      </c>
      <c r="AC13" t="s" s="4">
        <v>117</v>
      </c>
    </row>
    <row r="14" ht="15" customHeight="1">
      <c r="A14" s="7">
        <v>12</v>
      </c>
      <c r="B14" t="s" s="4">
        <v>118</v>
      </c>
      <c r="C14" t="s" s="4">
        <v>97</v>
      </c>
      <c r="D14" t="s" s="4">
        <v>75</v>
      </c>
      <c r="E14" s="7">
        <v>3</v>
      </c>
      <c r="F14" t="s" s="4">
        <v>119</v>
      </c>
      <c r="G14" t="s" s="4">
        <v>120</v>
      </c>
      <c r="H14" s="7">
        <v>6</v>
      </c>
      <c r="I14" s="7">
        <v>3</v>
      </c>
      <c r="J14" s="7">
        <v>4</v>
      </c>
      <c r="K14" s="7">
        <v>2</v>
      </c>
      <c r="L14" s="7">
        <v>5</v>
      </c>
      <c r="M14" s="7">
        <v>8</v>
      </c>
      <c r="N14" s="7">
        <v>9</v>
      </c>
      <c r="O14" s="7">
        <v>4</v>
      </c>
      <c r="P14" s="7">
        <v>8</v>
      </c>
      <c r="Q14" s="7">
        <v>9</v>
      </c>
      <c r="R14" s="7">
        <v>1</v>
      </c>
      <c r="S14" s="7">
        <v>10</v>
      </c>
      <c r="T14" t="s" s="4">
        <v>78</v>
      </c>
      <c r="U14" t="s" s="4">
        <v>121</v>
      </c>
      <c r="V14" t="s" s="4">
        <v>122</v>
      </c>
      <c r="W14" s="8">
        <v>1</v>
      </c>
      <c r="X14" s="8">
        <v>10</v>
      </c>
      <c r="Y14" s="9">
        <v>0.7</v>
      </c>
      <c r="Z14" s="9">
        <v>1616</v>
      </c>
      <c r="AA14" t="s" s="10">
        <v>104</v>
      </c>
      <c r="AB14" s="7">
        <v>4</v>
      </c>
      <c r="AC14" t="s" s="4">
        <v>123</v>
      </c>
    </row>
    <row r="15" ht="15" customHeight="1">
      <c r="A15" s="7">
        <v>13</v>
      </c>
      <c r="B15" t="s" s="4">
        <v>124</v>
      </c>
      <c r="C15" t="s" s="4">
        <v>97</v>
      </c>
      <c r="D15" t="s" s="4">
        <v>125</v>
      </c>
      <c r="E15" s="7">
        <v>5</v>
      </c>
      <c r="F15" t="s" s="4">
        <v>126</v>
      </c>
      <c r="G15" t="s" s="4">
        <v>127</v>
      </c>
      <c r="H15" s="7">
        <v>7</v>
      </c>
      <c r="I15" s="7">
        <v>1</v>
      </c>
      <c r="J15" s="7">
        <v>7</v>
      </c>
      <c r="K15" s="7">
        <v>2</v>
      </c>
      <c r="L15" s="7">
        <v>8</v>
      </c>
      <c r="M15" s="7">
        <v>9</v>
      </c>
      <c r="N15" s="7">
        <v>7</v>
      </c>
      <c r="O15" s="7">
        <v>7</v>
      </c>
      <c r="P15" s="7">
        <v>9</v>
      </c>
      <c r="Q15" s="7">
        <v>9</v>
      </c>
      <c r="R15" s="7">
        <v>10</v>
      </c>
      <c r="S15" s="7">
        <v>9</v>
      </c>
      <c r="T15" t="s" s="4">
        <v>101</v>
      </c>
      <c r="U15" t="s" s="4">
        <v>63</v>
      </c>
      <c r="V15" t="s" s="4">
        <v>128</v>
      </c>
      <c r="W15" s="8">
        <v>5</v>
      </c>
      <c r="X15" s="8">
        <v>3</v>
      </c>
      <c r="Y15" s="9">
        <v>0.7</v>
      </c>
      <c r="Z15" s="9">
        <v>1616</v>
      </c>
      <c r="AA15" t="s" s="10">
        <v>104</v>
      </c>
      <c r="AB15" s="7">
        <v>3</v>
      </c>
      <c r="AC15" t="s" s="4">
        <v>129</v>
      </c>
    </row>
    <row r="16" ht="15" customHeight="1">
      <c r="A16" s="7">
        <v>14</v>
      </c>
      <c r="B16" t="s" s="4">
        <v>130</v>
      </c>
      <c r="C16" t="s" s="4">
        <v>131</v>
      </c>
      <c r="D16" t="s" s="4">
        <v>132</v>
      </c>
      <c r="E16" s="7">
        <v>2</v>
      </c>
      <c r="F16" t="s" s="4">
        <v>133</v>
      </c>
      <c r="G16" t="s" s="4">
        <v>134</v>
      </c>
      <c r="H16" s="7">
        <v>6</v>
      </c>
      <c r="I16" s="7">
        <v>5</v>
      </c>
      <c r="J16" s="7">
        <v>8</v>
      </c>
      <c r="K16" s="7">
        <v>7</v>
      </c>
      <c r="L16" s="7">
        <v>4</v>
      </c>
      <c r="M16" s="7">
        <v>9</v>
      </c>
      <c r="N16" s="7">
        <v>7</v>
      </c>
      <c r="O16" s="7">
        <v>4</v>
      </c>
      <c r="P16" s="7">
        <v>8</v>
      </c>
      <c r="Q16" s="7">
        <v>4</v>
      </c>
      <c r="R16" s="7">
        <v>8</v>
      </c>
      <c r="S16" s="7">
        <v>8</v>
      </c>
      <c r="T16" t="s" s="4">
        <v>135</v>
      </c>
      <c r="U16" t="s" s="4">
        <v>71</v>
      </c>
      <c r="V16" t="s" s="4">
        <v>136</v>
      </c>
      <c r="W16" s="8">
        <v>3</v>
      </c>
      <c r="X16" s="8">
        <v>4</v>
      </c>
      <c r="Y16" s="9">
        <v>0.5</v>
      </c>
      <c r="Z16" s="9">
        <v>4963</v>
      </c>
      <c r="AA16" t="s" s="10">
        <v>137</v>
      </c>
      <c r="AB16" s="7">
        <v>5</v>
      </c>
      <c r="AC16" t="s" s="4">
        <v>138</v>
      </c>
    </row>
    <row r="17" ht="15" customHeight="1">
      <c r="A17" s="7">
        <v>15</v>
      </c>
      <c r="B17" t="s" s="4">
        <v>139</v>
      </c>
      <c r="C17" t="s" s="4">
        <v>131</v>
      </c>
      <c r="D17" t="s" s="4">
        <v>140</v>
      </c>
      <c r="E17" s="7">
        <v>4</v>
      </c>
      <c r="F17" t="s" s="4">
        <v>141</v>
      </c>
      <c r="G17" t="s" s="4">
        <v>142</v>
      </c>
      <c r="H17" s="7">
        <v>3</v>
      </c>
      <c r="I17" s="7">
        <v>3</v>
      </c>
      <c r="J17" s="7">
        <v>5</v>
      </c>
      <c r="K17" s="7">
        <v>7</v>
      </c>
      <c r="L17" s="7">
        <v>4</v>
      </c>
      <c r="M17" s="7">
        <v>9</v>
      </c>
      <c r="N17" s="7">
        <v>7</v>
      </c>
      <c r="O17" s="7">
        <v>6</v>
      </c>
      <c r="P17" s="7">
        <v>8</v>
      </c>
      <c r="Q17" s="7">
        <v>3</v>
      </c>
      <c r="R17" s="7">
        <v>7</v>
      </c>
      <c r="S17" s="7">
        <v>9</v>
      </c>
      <c r="T17" t="s" s="4">
        <v>135</v>
      </c>
      <c r="U17" t="s" s="4">
        <v>143</v>
      </c>
      <c r="V17" t="s" s="4">
        <v>144</v>
      </c>
      <c r="W17" s="8">
        <v>4</v>
      </c>
      <c r="X17" s="8">
        <v>4</v>
      </c>
      <c r="Y17" s="9">
        <v>0.5</v>
      </c>
      <c r="Z17" s="9">
        <v>4963</v>
      </c>
      <c r="AA17" t="s" s="10">
        <v>137</v>
      </c>
      <c r="AB17" s="7">
        <v>5</v>
      </c>
      <c r="AC17" t="s" s="4">
        <v>145</v>
      </c>
    </row>
    <row r="18" ht="15" customHeight="1">
      <c r="A18" s="7">
        <v>16</v>
      </c>
      <c r="B18" t="s" s="4">
        <v>146</v>
      </c>
      <c r="C18" t="s" s="4">
        <v>131</v>
      </c>
      <c r="D18" t="s" s="4">
        <v>147</v>
      </c>
      <c r="E18" s="7">
        <v>3</v>
      </c>
      <c r="F18" t="s" s="4">
        <v>60</v>
      </c>
      <c r="G18" t="s" s="4">
        <v>148</v>
      </c>
      <c r="H18" s="7">
        <v>6</v>
      </c>
      <c r="I18" s="7">
        <v>5</v>
      </c>
      <c r="J18" s="7">
        <v>7</v>
      </c>
      <c r="K18" s="7">
        <v>7</v>
      </c>
      <c r="L18" s="7">
        <v>5</v>
      </c>
      <c r="M18" s="7">
        <v>9</v>
      </c>
      <c r="N18" s="7">
        <v>8</v>
      </c>
      <c r="O18" s="7">
        <v>8</v>
      </c>
      <c r="P18" s="7">
        <v>8</v>
      </c>
      <c r="Q18" s="7">
        <v>5</v>
      </c>
      <c r="R18" s="7">
        <v>5</v>
      </c>
      <c r="S18" s="7">
        <v>7</v>
      </c>
      <c r="T18" t="s" s="4">
        <v>149</v>
      </c>
      <c r="U18" t="s" s="4">
        <v>46</v>
      </c>
      <c r="V18" t="s" s="4">
        <v>150</v>
      </c>
      <c r="W18" s="8">
        <v>3</v>
      </c>
      <c r="X18" s="8">
        <v>5</v>
      </c>
      <c r="Y18" s="9">
        <v>0.5</v>
      </c>
      <c r="Z18" s="9">
        <v>4963</v>
      </c>
      <c r="AA18" t="s" s="10">
        <v>137</v>
      </c>
      <c r="AB18" s="7">
        <v>5</v>
      </c>
      <c r="AC18" t="s" s="4">
        <v>151</v>
      </c>
    </row>
    <row r="19" ht="15" customHeight="1">
      <c r="A19" s="7">
        <v>17</v>
      </c>
      <c r="B19" t="s" s="4">
        <v>152</v>
      </c>
      <c r="C19" t="s" s="4">
        <v>131</v>
      </c>
      <c r="D19" t="s" s="4">
        <v>153</v>
      </c>
      <c r="E19" s="7">
        <v>2</v>
      </c>
      <c r="F19" t="s" s="4">
        <v>154</v>
      </c>
      <c r="G19" t="s" s="4">
        <v>155</v>
      </c>
      <c r="H19" s="7">
        <v>6</v>
      </c>
      <c r="I19" s="7">
        <v>8</v>
      </c>
      <c r="J19" s="7">
        <v>6</v>
      </c>
      <c r="K19" s="7">
        <v>7</v>
      </c>
      <c r="L19" s="7">
        <v>5</v>
      </c>
      <c r="M19" s="7">
        <v>7</v>
      </c>
      <c r="N19" s="7">
        <v>6</v>
      </c>
      <c r="O19" s="7">
        <v>7</v>
      </c>
      <c r="P19" s="7">
        <v>6</v>
      </c>
      <c r="Q19" s="7">
        <v>5</v>
      </c>
      <c r="R19" s="7">
        <v>7</v>
      </c>
      <c r="S19" s="7">
        <v>6</v>
      </c>
      <c r="T19" t="s" s="4">
        <v>62</v>
      </c>
      <c r="U19" t="s" s="4">
        <v>156</v>
      </c>
      <c r="V19" t="s" s="4">
        <v>157</v>
      </c>
      <c r="W19" s="8">
        <v>3</v>
      </c>
      <c r="X19" s="8">
        <v>7</v>
      </c>
      <c r="Y19" s="9">
        <v>0.5</v>
      </c>
      <c r="Z19" s="9">
        <v>4963</v>
      </c>
      <c r="AA19" t="s" s="10">
        <v>137</v>
      </c>
      <c r="AB19" s="7">
        <v>6</v>
      </c>
      <c r="AC19" t="s" s="4">
        <v>158</v>
      </c>
    </row>
    <row r="20" ht="15" customHeight="1">
      <c r="A20" s="7">
        <v>18</v>
      </c>
      <c r="B20" t="s" s="4">
        <v>159</v>
      </c>
      <c r="C20" t="s" s="4">
        <v>131</v>
      </c>
      <c r="D20" t="s" s="4">
        <v>160</v>
      </c>
      <c r="E20" s="7">
        <v>5</v>
      </c>
      <c r="F20" t="s" s="4">
        <v>161</v>
      </c>
      <c r="G20" t="s" s="4">
        <v>162</v>
      </c>
      <c r="H20" s="7">
        <v>5</v>
      </c>
      <c r="I20" s="7">
        <v>2</v>
      </c>
      <c r="J20" s="7">
        <v>5</v>
      </c>
      <c r="K20" s="7">
        <v>7</v>
      </c>
      <c r="L20" s="7">
        <v>5</v>
      </c>
      <c r="M20" s="7">
        <v>9</v>
      </c>
      <c r="N20" s="7">
        <v>6</v>
      </c>
      <c r="O20" s="7">
        <v>8</v>
      </c>
      <c r="P20" s="7">
        <v>7</v>
      </c>
      <c r="Q20" s="7">
        <v>2</v>
      </c>
      <c r="R20" s="7">
        <v>5</v>
      </c>
      <c r="S20" s="7">
        <v>4</v>
      </c>
      <c r="T20" t="s" s="4">
        <v>135</v>
      </c>
      <c r="U20" t="s" s="4">
        <v>156</v>
      </c>
      <c r="V20" t="s" s="4">
        <v>163</v>
      </c>
      <c r="W20" s="8">
        <v>3</v>
      </c>
      <c r="X20" s="8">
        <v>3</v>
      </c>
      <c r="Y20" s="9">
        <v>0.5</v>
      </c>
      <c r="Z20" s="9">
        <v>4963</v>
      </c>
      <c r="AA20" t="s" s="10">
        <v>137</v>
      </c>
      <c r="AB20" s="7">
        <v>5</v>
      </c>
      <c r="AC20" t="s" s="4">
        <v>164</v>
      </c>
    </row>
    <row r="21" ht="15" customHeight="1">
      <c r="A21" s="7">
        <v>19</v>
      </c>
      <c r="B21" t="s" s="4">
        <v>165</v>
      </c>
      <c r="C21" t="s" s="4">
        <v>131</v>
      </c>
      <c r="D21" t="s" s="4">
        <v>166</v>
      </c>
      <c r="E21" s="7">
        <v>5</v>
      </c>
      <c r="F21" t="s" s="4">
        <v>167</v>
      </c>
      <c r="G21" t="s" s="4">
        <v>168</v>
      </c>
      <c r="H21" s="7">
        <v>6</v>
      </c>
      <c r="I21" s="7">
        <v>1</v>
      </c>
      <c r="J21" s="7">
        <v>6</v>
      </c>
      <c r="K21" s="7">
        <v>7</v>
      </c>
      <c r="L21" s="7">
        <v>7</v>
      </c>
      <c r="M21" s="7">
        <v>10</v>
      </c>
      <c r="N21" s="7">
        <v>8</v>
      </c>
      <c r="O21" s="7">
        <v>9</v>
      </c>
      <c r="P21" s="7">
        <v>7</v>
      </c>
      <c r="Q21" s="7">
        <v>2</v>
      </c>
      <c r="R21" s="7">
        <v>5</v>
      </c>
      <c r="S21" s="7">
        <v>5</v>
      </c>
      <c r="T21" t="s" s="4">
        <v>135</v>
      </c>
      <c r="U21" t="s" s="4">
        <v>156</v>
      </c>
      <c r="V21" t="s" s="4">
        <v>169</v>
      </c>
      <c r="W21" s="8">
        <v>3</v>
      </c>
      <c r="X21" s="8">
        <v>2</v>
      </c>
      <c r="Y21" s="9">
        <v>0.5</v>
      </c>
      <c r="Z21" s="9">
        <v>4963</v>
      </c>
      <c r="AA21" t="s" s="10">
        <v>137</v>
      </c>
      <c r="AB21" s="7">
        <v>5</v>
      </c>
      <c r="AC21" t="s" s="4">
        <v>170</v>
      </c>
    </row>
    <row r="22" ht="15" customHeight="1">
      <c r="A22" s="7">
        <v>20</v>
      </c>
      <c r="B22" t="s" s="4">
        <v>171</v>
      </c>
      <c r="C22" t="s" s="4">
        <v>172</v>
      </c>
      <c r="D22" t="s" s="4">
        <v>173</v>
      </c>
      <c r="E22" s="7">
        <v>3</v>
      </c>
      <c r="F22" t="s" s="4">
        <v>60</v>
      </c>
      <c r="G22" t="s" s="4">
        <v>174</v>
      </c>
      <c r="H22" s="7">
        <v>5</v>
      </c>
      <c r="I22" s="7">
        <v>2</v>
      </c>
      <c r="J22" s="7">
        <v>6</v>
      </c>
      <c r="K22" s="7">
        <v>9</v>
      </c>
      <c r="L22" s="7">
        <v>7</v>
      </c>
      <c r="M22" s="7">
        <v>8</v>
      </c>
      <c r="N22" s="7">
        <v>6</v>
      </c>
      <c r="O22" s="7">
        <v>7</v>
      </c>
      <c r="P22" s="7">
        <v>8</v>
      </c>
      <c r="Q22" s="7">
        <v>5</v>
      </c>
      <c r="R22" s="7">
        <v>6</v>
      </c>
      <c r="S22" s="7">
        <v>5</v>
      </c>
      <c r="T22" t="s" s="4">
        <v>101</v>
      </c>
      <c r="U22" t="s" s="4">
        <v>175</v>
      </c>
      <c r="V22" t="s" s="4">
        <v>176</v>
      </c>
      <c r="W22" s="8">
        <v>8</v>
      </c>
      <c r="X22" s="8">
        <v>6</v>
      </c>
      <c r="Y22" s="9">
        <v>0.54</v>
      </c>
      <c r="Z22" s="9">
        <v>1374</v>
      </c>
      <c r="AA22" s="5"/>
      <c r="AB22" s="7">
        <v>5</v>
      </c>
      <c r="AC22" t="s" s="4">
        <v>177</v>
      </c>
    </row>
    <row r="23" ht="15" customHeight="1">
      <c r="A23" s="7">
        <v>21</v>
      </c>
      <c r="B23" t="s" s="4">
        <v>178</v>
      </c>
      <c r="C23" t="s" s="4">
        <v>172</v>
      </c>
      <c r="D23" t="s" s="4">
        <v>179</v>
      </c>
      <c r="E23" s="7">
        <v>3</v>
      </c>
      <c r="F23" t="s" s="4">
        <v>180</v>
      </c>
      <c r="G23" t="s" s="4">
        <v>181</v>
      </c>
      <c r="H23" s="7">
        <v>7</v>
      </c>
      <c r="I23" s="7">
        <v>5</v>
      </c>
      <c r="J23" s="7">
        <v>8</v>
      </c>
      <c r="K23" s="7">
        <v>8</v>
      </c>
      <c r="L23" s="7">
        <v>6</v>
      </c>
      <c r="M23" s="7">
        <v>6</v>
      </c>
      <c r="N23" s="7">
        <v>5</v>
      </c>
      <c r="O23" s="7">
        <v>7</v>
      </c>
      <c r="P23" s="7">
        <v>7</v>
      </c>
      <c r="Q23" s="7">
        <v>4</v>
      </c>
      <c r="R23" s="7">
        <v>6</v>
      </c>
      <c r="S23" s="7">
        <v>5</v>
      </c>
      <c r="T23" t="s" s="4">
        <v>182</v>
      </c>
      <c r="U23" t="s" s="4">
        <v>183</v>
      </c>
      <c r="V23" t="s" s="4">
        <v>184</v>
      </c>
      <c r="W23" s="8">
        <v>8</v>
      </c>
      <c r="X23" s="8">
        <v>6</v>
      </c>
      <c r="Y23" s="9">
        <v>0.54</v>
      </c>
      <c r="Z23" s="9">
        <v>1374</v>
      </c>
      <c r="AA23" s="5"/>
      <c r="AB23" s="7">
        <v>7</v>
      </c>
      <c r="AC23" t="s" s="4">
        <v>185</v>
      </c>
    </row>
    <row r="24" ht="15" customHeight="1">
      <c r="A24" s="7">
        <v>22</v>
      </c>
      <c r="B24" t="s" s="4">
        <v>186</v>
      </c>
      <c r="C24" t="s" s="4">
        <v>187</v>
      </c>
      <c r="D24" t="s" s="4">
        <v>188</v>
      </c>
      <c r="E24" s="7">
        <v>2</v>
      </c>
      <c r="F24" t="s" s="4">
        <v>189</v>
      </c>
      <c r="G24" t="s" s="4">
        <v>190</v>
      </c>
      <c r="H24" s="7">
        <v>9</v>
      </c>
      <c r="I24" s="7">
        <v>6</v>
      </c>
      <c r="J24" s="7">
        <v>5</v>
      </c>
      <c r="K24" s="7">
        <v>9</v>
      </c>
      <c r="L24" s="7">
        <v>8</v>
      </c>
      <c r="M24" s="7">
        <v>6</v>
      </c>
      <c r="N24" s="7">
        <v>9</v>
      </c>
      <c r="O24" s="7">
        <v>7</v>
      </c>
      <c r="P24" s="7">
        <v>9</v>
      </c>
      <c r="Q24" s="7">
        <v>10</v>
      </c>
      <c r="R24" s="7">
        <v>4</v>
      </c>
      <c r="S24" s="7">
        <v>4</v>
      </c>
      <c r="T24" t="s" s="4">
        <v>101</v>
      </c>
      <c r="U24" t="s" s="4">
        <v>191</v>
      </c>
      <c r="V24" t="s" s="4">
        <v>192</v>
      </c>
      <c r="W24" s="8">
        <v>9</v>
      </c>
      <c r="X24" s="8">
        <v>7</v>
      </c>
      <c r="Y24" s="9">
        <v>0.78</v>
      </c>
      <c r="Z24" s="9">
        <v>7136</v>
      </c>
      <c r="AA24" t="s" s="10">
        <v>193</v>
      </c>
      <c r="AB24" s="7">
        <v>2</v>
      </c>
      <c r="AC24" t="s" s="4">
        <v>194</v>
      </c>
    </row>
    <row r="25" ht="15" customHeight="1">
      <c r="A25" s="7">
        <v>23</v>
      </c>
      <c r="B25" t="s" s="4">
        <v>195</v>
      </c>
      <c r="C25" t="s" s="4">
        <v>187</v>
      </c>
      <c r="D25" t="s" s="4">
        <v>196</v>
      </c>
      <c r="E25" s="7">
        <v>2</v>
      </c>
      <c r="F25" t="s" s="4">
        <v>197</v>
      </c>
      <c r="G25" t="s" s="4">
        <v>198</v>
      </c>
      <c r="H25" s="7">
        <v>9</v>
      </c>
      <c r="I25" s="7">
        <v>7</v>
      </c>
      <c r="J25" s="7">
        <v>9</v>
      </c>
      <c r="K25" s="7">
        <v>9</v>
      </c>
      <c r="L25" s="7">
        <v>3</v>
      </c>
      <c r="M25" s="7">
        <v>6</v>
      </c>
      <c r="N25" s="7">
        <v>8</v>
      </c>
      <c r="O25" s="7">
        <v>6</v>
      </c>
      <c r="P25" s="7">
        <v>7</v>
      </c>
      <c r="Q25" s="7">
        <v>10</v>
      </c>
      <c r="R25" s="7">
        <v>4</v>
      </c>
      <c r="S25" s="7">
        <v>3</v>
      </c>
      <c r="T25" t="s" s="4">
        <v>36</v>
      </c>
      <c r="U25" t="s" s="4">
        <v>79</v>
      </c>
      <c r="V25" t="s" s="4">
        <v>199</v>
      </c>
      <c r="W25" s="8">
        <v>9</v>
      </c>
      <c r="X25" s="8">
        <v>7</v>
      </c>
      <c r="Y25" s="9">
        <v>0.78</v>
      </c>
      <c r="Z25" s="9">
        <v>7136</v>
      </c>
      <c r="AA25" t="s" s="10">
        <v>193</v>
      </c>
      <c r="AB25" s="7">
        <v>1</v>
      </c>
      <c r="AC25" t="s" s="4">
        <v>200</v>
      </c>
    </row>
    <row r="26" ht="15" customHeight="1">
      <c r="A26" s="7">
        <v>24</v>
      </c>
      <c r="B26" t="s" s="4">
        <v>201</v>
      </c>
      <c r="C26" t="s" s="4">
        <v>187</v>
      </c>
      <c r="D26" t="s" s="4">
        <v>202</v>
      </c>
      <c r="E26" s="7">
        <v>3</v>
      </c>
      <c r="F26" t="s" s="4">
        <v>203</v>
      </c>
      <c r="G26" t="s" s="4">
        <v>69</v>
      </c>
      <c r="H26" s="7">
        <v>8</v>
      </c>
      <c r="I26" s="7">
        <v>3</v>
      </c>
      <c r="J26" s="7">
        <v>10</v>
      </c>
      <c r="K26" s="7">
        <v>9</v>
      </c>
      <c r="L26" s="7">
        <v>5</v>
      </c>
      <c r="M26" s="7">
        <v>6</v>
      </c>
      <c r="N26" s="7">
        <v>10</v>
      </c>
      <c r="O26" s="7">
        <v>9</v>
      </c>
      <c r="P26" s="7">
        <v>8</v>
      </c>
      <c r="Q26" s="7">
        <v>10</v>
      </c>
      <c r="R26" s="7">
        <v>4</v>
      </c>
      <c r="S26" s="7">
        <v>3</v>
      </c>
      <c r="T26" t="s" s="4">
        <v>101</v>
      </c>
      <c r="U26" t="s" s="4">
        <v>204</v>
      </c>
      <c r="V26" t="s" s="4">
        <v>205</v>
      </c>
      <c r="W26" s="8">
        <v>9</v>
      </c>
      <c r="X26" s="8">
        <v>7</v>
      </c>
      <c r="Y26" s="9">
        <v>0.78</v>
      </c>
      <c r="Z26" s="9">
        <v>7136</v>
      </c>
      <c r="AA26" t="s" s="10">
        <v>193</v>
      </c>
      <c r="AB26" s="7">
        <v>2</v>
      </c>
      <c r="AC26" t="s" s="4">
        <v>206</v>
      </c>
    </row>
    <row r="27" ht="15" customHeight="1">
      <c r="A27" s="7">
        <v>25</v>
      </c>
      <c r="B27" t="s" s="4">
        <v>207</v>
      </c>
      <c r="C27" t="s" s="4">
        <v>187</v>
      </c>
      <c r="D27" t="s" s="4">
        <v>208</v>
      </c>
      <c r="E27" s="7">
        <v>1</v>
      </c>
      <c r="F27" t="s" s="4">
        <v>91</v>
      </c>
      <c r="G27" t="s" s="4">
        <v>209</v>
      </c>
      <c r="H27" s="7">
        <v>7</v>
      </c>
      <c r="I27" s="7">
        <v>7</v>
      </c>
      <c r="J27" s="7">
        <v>7</v>
      </c>
      <c r="K27" s="7">
        <v>9</v>
      </c>
      <c r="L27" s="7">
        <v>4</v>
      </c>
      <c r="M27" s="7">
        <v>7</v>
      </c>
      <c r="N27" s="7">
        <v>6</v>
      </c>
      <c r="O27" s="7">
        <v>6</v>
      </c>
      <c r="P27" s="7">
        <v>7</v>
      </c>
      <c r="Q27" s="7">
        <v>7</v>
      </c>
      <c r="R27" s="7">
        <v>5</v>
      </c>
      <c r="S27" s="7">
        <v>3</v>
      </c>
      <c r="T27" t="s" s="4">
        <v>101</v>
      </c>
      <c r="U27" t="s" s="4">
        <v>71</v>
      </c>
      <c r="V27" t="s" s="4">
        <v>210</v>
      </c>
      <c r="W27" s="8">
        <v>9</v>
      </c>
      <c r="X27" s="8">
        <v>7</v>
      </c>
      <c r="Y27" s="9">
        <v>0.78</v>
      </c>
      <c r="Z27" s="9">
        <v>7136</v>
      </c>
      <c r="AA27" t="s" s="10">
        <v>193</v>
      </c>
      <c r="AB27" s="7">
        <v>2</v>
      </c>
      <c r="AC27" t="s" s="4">
        <v>211</v>
      </c>
    </row>
    <row r="28" ht="15" customHeight="1">
      <c r="A28" s="7">
        <v>26</v>
      </c>
      <c r="B28" t="s" s="4">
        <v>212</v>
      </c>
      <c r="C28" t="s" s="4">
        <v>187</v>
      </c>
      <c r="D28" t="s" s="4">
        <v>213</v>
      </c>
      <c r="E28" s="7">
        <v>2</v>
      </c>
      <c r="F28" t="s" s="4">
        <v>214</v>
      </c>
      <c r="G28" t="s" s="4">
        <v>215</v>
      </c>
      <c r="H28" s="7">
        <v>7</v>
      </c>
      <c r="I28" s="7">
        <v>5</v>
      </c>
      <c r="J28" s="7">
        <v>10</v>
      </c>
      <c r="K28" s="7">
        <v>9</v>
      </c>
      <c r="L28" s="7">
        <v>6</v>
      </c>
      <c r="M28" s="7">
        <v>6</v>
      </c>
      <c r="N28" s="7">
        <v>9</v>
      </c>
      <c r="O28" s="7">
        <v>5</v>
      </c>
      <c r="P28" s="7">
        <v>9</v>
      </c>
      <c r="Q28" s="7">
        <v>10</v>
      </c>
      <c r="R28" s="7">
        <v>4</v>
      </c>
      <c r="S28" s="7">
        <v>3</v>
      </c>
      <c r="T28" t="s" s="4">
        <v>101</v>
      </c>
      <c r="U28" t="s" s="4">
        <v>216</v>
      </c>
      <c r="V28" t="s" s="4">
        <v>217</v>
      </c>
      <c r="W28" s="8">
        <v>9</v>
      </c>
      <c r="X28" s="8">
        <v>7</v>
      </c>
      <c r="Y28" s="9">
        <v>0.78</v>
      </c>
      <c r="Z28" s="9">
        <v>7136</v>
      </c>
      <c r="AA28" t="s" s="10">
        <v>193</v>
      </c>
      <c r="AB28" s="7">
        <v>2</v>
      </c>
      <c r="AC28" t="s" s="4">
        <v>218</v>
      </c>
    </row>
    <row r="29" ht="15" customHeight="1">
      <c r="A29" s="7">
        <v>27</v>
      </c>
      <c r="B29" t="s" s="4">
        <v>219</v>
      </c>
      <c r="C29" t="s" s="4">
        <v>187</v>
      </c>
      <c r="D29" t="s" s="4">
        <v>220</v>
      </c>
      <c r="E29" s="7">
        <v>2</v>
      </c>
      <c r="F29" t="s" s="4">
        <v>133</v>
      </c>
      <c r="G29" t="s" s="4">
        <v>221</v>
      </c>
      <c r="H29" s="7">
        <v>6</v>
      </c>
      <c r="I29" s="7">
        <v>5</v>
      </c>
      <c r="J29" s="7">
        <v>8</v>
      </c>
      <c r="K29" s="7">
        <v>9</v>
      </c>
      <c r="L29" s="7">
        <v>7</v>
      </c>
      <c r="M29" s="7">
        <v>6</v>
      </c>
      <c r="N29" s="7">
        <v>6</v>
      </c>
      <c r="O29" s="7">
        <v>8</v>
      </c>
      <c r="P29" s="7">
        <v>9</v>
      </c>
      <c r="Q29" s="7">
        <v>8</v>
      </c>
      <c r="R29" s="7">
        <v>4</v>
      </c>
      <c r="S29" s="7">
        <v>4</v>
      </c>
      <c r="T29" t="s" s="4">
        <v>101</v>
      </c>
      <c r="U29" t="s" s="4">
        <v>63</v>
      </c>
      <c r="V29" t="s" s="4">
        <v>222</v>
      </c>
      <c r="W29" s="8">
        <v>9</v>
      </c>
      <c r="X29" s="8">
        <v>7</v>
      </c>
      <c r="Y29" s="9">
        <v>0.78</v>
      </c>
      <c r="Z29" s="9">
        <v>7136</v>
      </c>
      <c r="AA29" t="s" s="10">
        <v>193</v>
      </c>
      <c r="AB29" s="7">
        <v>3</v>
      </c>
      <c r="AC29" t="s" s="4">
        <v>223</v>
      </c>
    </row>
    <row r="30" ht="15" customHeight="1">
      <c r="A30" s="7">
        <v>28</v>
      </c>
      <c r="B30" t="s" s="4">
        <v>224</v>
      </c>
      <c r="C30" t="s" s="4">
        <v>187</v>
      </c>
      <c r="D30" t="s" s="4">
        <v>225</v>
      </c>
      <c r="E30" s="7">
        <v>2</v>
      </c>
      <c r="F30" t="s" s="4">
        <v>34</v>
      </c>
      <c r="G30" t="s" s="4">
        <v>226</v>
      </c>
      <c r="H30" s="7">
        <v>8</v>
      </c>
      <c r="I30" s="7">
        <v>6</v>
      </c>
      <c r="J30" s="7">
        <v>7</v>
      </c>
      <c r="K30" s="7">
        <v>9</v>
      </c>
      <c r="L30" s="7">
        <v>8</v>
      </c>
      <c r="M30" s="7">
        <v>7</v>
      </c>
      <c r="N30" s="7">
        <v>8</v>
      </c>
      <c r="O30" s="7">
        <v>6</v>
      </c>
      <c r="P30" s="7">
        <v>9</v>
      </c>
      <c r="Q30" s="7">
        <v>9</v>
      </c>
      <c r="R30" s="7">
        <v>7</v>
      </c>
      <c r="S30" s="7">
        <v>8</v>
      </c>
      <c r="T30" t="s" s="4">
        <v>227</v>
      </c>
      <c r="U30" t="s" s="4">
        <v>228</v>
      </c>
      <c r="V30" t="s" s="4">
        <v>229</v>
      </c>
      <c r="W30" s="8">
        <v>9</v>
      </c>
      <c r="X30" s="8">
        <v>7</v>
      </c>
      <c r="Y30" s="9">
        <v>0.78</v>
      </c>
      <c r="Z30" s="9">
        <v>7136</v>
      </c>
      <c r="AA30" t="s" s="10">
        <v>193</v>
      </c>
      <c r="AB30" s="7">
        <v>2</v>
      </c>
      <c r="AC30" t="s" s="4">
        <v>230</v>
      </c>
    </row>
    <row r="31" ht="15" customHeight="1">
      <c r="A31" s="7">
        <v>29</v>
      </c>
      <c r="B31" t="s" s="4">
        <v>231</v>
      </c>
      <c r="C31" t="s" s="4">
        <v>187</v>
      </c>
      <c r="D31" t="s" s="4">
        <v>232</v>
      </c>
      <c r="E31" s="7">
        <v>2</v>
      </c>
      <c r="F31" t="s" s="4">
        <v>197</v>
      </c>
      <c r="G31" t="s" s="4">
        <v>233</v>
      </c>
      <c r="H31" s="7">
        <v>10</v>
      </c>
      <c r="I31" s="7">
        <v>6</v>
      </c>
      <c r="J31" s="7">
        <v>10</v>
      </c>
      <c r="K31" s="7">
        <v>9</v>
      </c>
      <c r="L31" s="7">
        <v>6</v>
      </c>
      <c r="M31" s="7">
        <v>6</v>
      </c>
      <c r="N31" s="7">
        <v>7</v>
      </c>
      <c r="O31" s="7">
        <v>6</v>
      </c>
      <c r="P31" s="7">
        <v>8</v>
      </c>
      <c r="Q31" s="7">
        <v>9</v>
      </c>
      <c r="R31" s="7">
        <v>4</v>
      </c>
      <c r="S31" s="7">
        <v>3</v>
      </c>
      <c r="T31" t="s" s="4">
        <v>36</v>
      </c>
      <c r="U31" t="s" s="4">
        <v>234</v>
      </c>
      <c r="V31" t="s" s="4">
        <v>235</v>
      </c>
      <c r="W31" s="8">
        <v>9</v>
      </c>
      <c r="X31" s="8">
        <v>7</v>
      </c>
      <c r="Y31" s="9">
        <v>0.78</v>
      </c>
      <c r="Z31" s="9">
        <v>7136</v>
      </c>
      <c r="AA31" t="s" s="10">
        <v>193</v>
      </c>
      <c r="AB31" s="7">
        <v>2</v>
      </c>
      <c r="AC31" t="s" s="4">
        <v>236</v>
      </c>
    </row>
    <row r="32" ht="15" customHeight="1">
      <c r="A32" s="7">
        <v>30</v>
      </c>
      <c r="B32" t="s" s="4">
        <v>237</v>
      </c>
      <c r="C32" t="s" s="4">
        <v>238</v>
      </c>
      <c r="D32" t="s" s="4">
        <v>239</v>
      </c>
      <c r="E32" s="7">
        <v>1</v>
      </c>
      <c r="F32" t="s" s="4">
        <v>43</v>
      </c>
      <c r="G32" t="s" s="4">
        <v>240</v>
      </c>
      <c r="H32" s="7">
        <v>5</v>
      </c>
      <c r="I32" s="7">
        <v>7</v>
      </c>
      <c r="J32" s="7">
        <v>6</v>
      </c>
      <c r="K32" s="7">
        <v>7</v>
      </c>
      <c r="L32" s="7">
        <v>7</v>
      </c>
      <c r="M32" s="7">
        <v>6</v>
      </c>
      <c r="N32" s="7">
        <v>5</v>
      </c>
      <c r="O32" s="7">
        <v>4</v>
      </c>
      <c r="P32" s="7">
        <v>8</v>
      </c>
      <c r="Q32" s="7">
        <v>7</v>
      </c>
      <c r="R32" s="7">
        <v>5</v>
      </c>
      <c r="S32" s="7">
        <v>3</v>
      </c>
      <c r="T32" t="s" s="4">
        <v>241</v>
      </c>
      <c r="U32" t="s" s="4">
        <v>242</v>
      </c>
      <c r="V32" t="s" s="4">
        <v>243</v>
      </c>
      <c r="W32" s="8">
        <v>10</v>
      </c>
      <c r="X32" s="8">
        <v>7</v>
      </c>
      <c r="Y32" s="9">
        <v>0.79</v>
      </c>
      <c r="Z32" s="9">
        <v>2323</v>
      </c>
      <c r="AA32" s="5"/>
      <c r="AB32" s="7">
        <v>3</v>
      </c>
      <c r="AC32" t="s" s="4">
        <v>244</v>
      </c>
    </row>
    <row r="33" ht="15" customHeight="1">
      <c r="A33" s="7">
        <v>31</v>
      </c>
      <c r="B33" t="s" s="4">
        <v>245</v>
      </c>
      <c r="C33" t="s" s="4">
        <v>246</v>
      </c>
      <c r="D33" t="s" s="4">
        <v>247</v>
      </c>
      <c r="E33" s="7">
        <v>1</v>
      </c>
      <c r="F33" t="s" s="4">
        <v>248</v>
      </c>
      <c r="G33" t="s" s="4">
        <v>249</v>
      </c>
      <c r="H33" s="7">
        <v>7</v>
      </c>
      <c r="I33" s="7">
        <v>8</v>
      </c>
      <c r="J33" s="7">
        <v>8</v>
      </c>
      <c r="K33" s="7">
        <v>8</v>
      </c>
      <c r="L33" s="7">
        <v>5</v>
      </c>
      <c r="M33" s="7">
        <v>5</v>
      </c>
      <c r="N33" s="7">
        <v>7</v>
      </c>
      <c r="O33" s="7">
        <v>7</v>
      </c>
      <c r="P33" s="7">
        <v>7</v>
      </c>
      <c r="Q33" s="7">
        <v>2</v>
      </c>
      <c r="R33" s="7">
        <v>6</v>
      </c>
      <c r="S33" s="7">
        <v>4</v>
      </c>
      <c r="T33" t="s" s="4">
        <v>182</v>
      </c>
      <c r="U33" t="s" s="4">
        <v>250</v>
      </c>
      <c r="V33" t="s" s="4">
        <v>251</v>
      </c>
      <c r="W33" s="8">
        <v>7</v>
      </c>
      <c r="X33" s="8">
        <v>6</v>
      </c>
      <c r="Y33" s="9">
        <v>1.33</v>
      </c>
      <c r="Z33" s="9">
        <v>2902</v>
      </c>
      <c r="AA33" s="5"/>
      <c r="AB33" s="7">
        <v>7</v>
      </c>
      <c r="AC33" t="s" s="4">
        <v>252</v>
      </c>
    </row>
    <row r="34" ht="15" customHeight="1">
      <c r="A34" s="7">
        <v>32</v>
      </c>
      <c r="B34" t="s" s="4">
        <v>253</v>
      </c>
      <c r="C34" t="s" s="4">
        <v>254</v>
      </c>
      <c r="D34" t="s" s="4">
        <v>255</v>
      </c>
      <c r="E34" s="7">
        <v>2</v>
      </c>
      <c r="F34" t="s" s="4">
        <v>256</v>
      </c>
      <c r="G34" t="s" s="4">
        <v>257</v>
      </c>
      <c r="H34" s="7">
        <v>7</v>
      </c>
      <c r="I34" s="7">
        <v>4</v>
      </c>
      <c r="J34" s="7">
        <v>7</v>
      </c>
      <c r="K34" s="7">
        <v>6</v>
      </c>
      <c r="L34" s="7">
        <v>4</v>
      </c>
      <c r="M34" s="7">
        <v>8</v>
      </c>
      <c r="N34" s="7">
        <v>7</v>
      </c>
      <c r="O34" s="7">
        <v>8</v>
      </c>
      <c r="P34" s="7">
        <v>7</v>
      </c>
      <c r="Q34" s="7">
        <v>4</v>
      </c>
      <c r="R34" s="7">
        <v>5</v>
      </c>
      <c r="S34" s="7">
        <v>8</v>
      </c>
      <c r="T34" t="s" s="4">
        <v>45</v>
      </c>
      <c r="U34" t="s" s="4">
        <v>110</v>
      </c>
      <c r="V34" t="s" s="4">
        <v>258</v>
      </c>
      <c r="W34" s="8">
        <v>4</v>
      </c>
      <c r="X34" s="8">
        <v>7</v>
      </c>
      <c r="Y34" s="9">
        <v>0.5</v>
      </c>
      <c r="Z34" s="9">
        <v>2240</v>
      </c>
      <c r="AA34" s="5"/>
      <c r="AB34" s="7">
        <v>5</v>
      </c>
      <c r="AC34" t="s" s="4">
        <v>259</v>
      </c>
    </row>
    <row r="35" ht="15" customHeight="1">
      <c r="A35" s="7">
        <v>33</v>
      </c>
      <c r="B35" t="s" s="4">
        <v>260</v>
      </c>
      <c r="C35" t="s" s="4">
        <v>254</v>
      </c>
      <c r="D35" t="s" s="4">
        <v>261</v>
      </c>
      <c r="E35" s="7">
        <v>3</v>
      </c>
      <c r="F35" t="s" s="4">
        <v>262</v>
      </c>
      <c r="G35" t="s" s="4">
        <v>148</v>
      </c>
      <c r="H35" s="7">
        <v>6</v>
      </c>
      <c r="I35" s="7">
        <v>5</v>
      </c>
      <c r="J35" s="7">
        <v>6</v>
      </c>
      <c r="K35" s="7">
        <v>7</v>
      </c>
      <c r="L35" s="7">
        <v>5</v>
      </c>
      <c r="M35" s="7">
        <v>8</v>
      </c>
      <c r="N35" s="7">
        <v>7</v>
      </c>
      <c r="O35" s="7">
        <v>7</v>
      </c>
      <c r="P35" s="7">
        <v>7</v>
      </c>
      <c r="Q35" s="7">
        <v>3</v>
      </c>
      <c r="R35" s="7">
        <v>6</v>
      </c>
      <c r="S35" s="7">
        <v>5</v>
      </c>
      <c r="T35" t="s" s="4">
        <v>263</v>
      </c>
      <c r="U35" t="s" s="4">
        <v>156</v>
      </c>
      <c r="V35" t="s" s="4">
        <v>264</v>
      </c>
      <c r="W35" s="8">
        <v>5</v>
      </c>
      <c r="X35" s="8">
        <v>5</v>
      </c>
      <c r="Y35" s="9">
        <v>0.5</v>
      </c>
      <c r="Z35" s="9">
        <v>2240</v>
      </c>
      <c r="AA35" s="5"/>
      <c r="AB35" s="7">
        <v>5</v>
      </c>
      <c r="AC35" t="s" s="4">
        <v>265</v>
      </c>
    </row>
    <row r="36" ht="15" customHeight="1">
      <c r="A36" s="7">
        <v>34</v>
      </c>
      <c r="B36" t="s" s="4">
        <v>266</v>
      </c>
      <c r="C36" t="s" s="4">
        <v>254</v>
      </c>
      <c r="D36" t="s" s="4">
        <v>160</v>
      </c>
      <c r="E36" s="7">
        <v>5</v>
      </c>
      <c r="F36" t="s" s="4">
        <v>267</v>
      </c>
      <c r="G36" t="s" s="4">
        <v>268</v>
      </c>
      <c r="H36" s="7">
        <v>5</v>
      </c>
      <c r="I36" s="7">
        <v>2</v>
      </c>
      <c r="J36" s="7">
        <v>5</v>
      </c>
      <c r="K36" s="7">
        <v>7</v>
      </c>
      <c r="L36" s="7">
        <v>6</v>
      </c>
      <c r="M36" s="7">
        <v>10</v>
      </c>
      <c r="N36" s="7">
        <v>5</v>
      </c>
      <c r="O36" s="7">
        <v>9</v>
      </c>
      <c r="P36" s="7">
        <v>7</v>
      </c>
      <c r="Q36" s="7">
        <v>2</v>
      </c>
      <c r="R36" s="7">
        <v>5</v>
      </c>
      <c r="S36" s="7">
        <v>4</v>
      </c>
      <c r="T36" t="s" s="4">
        <v>135</v>
      </c>
      <c r="U36" t="s" s="4">
        <v>156</v>
      </c>
      <c r="V36" t="s" s="4">
        <v>269</v>
      </c>
      <c r="W36" s="8">
        <v>3</v>
      </c>
      <c r="X36" s="8">
        <v>4</v>
      </c>
      <c r="Y36" s="9">
        <v>0.5</v>
      </c>
      <c r="Z36" s="9">
        <v>2240</v>
      </c>
      <c r="AA36" s="5"/>
      <c r="AB36" s="7">
        <v>5</v>
      </c>
      <c r="AC36" t="s" s="4">
        <v>270</v>
      </c>
    </row>
    <row r="37" ht="15" customHeight="1">
      <c r="A37" s="7">
        <v>35</v>
      </c>
      <c r="B37" t="s" s="4">
        <v>271</v>
      </c>
      <c r="C37" t="s" s="4">
        <v>272</v>
      </c>
      <c r="D37" t="s" s="4">
        <v>273</v>
      </c>
      <c r="E37" s="7">
        <v>1</v>
      </c>
      <c r="F37" t="s" s="4">
        <v>274</v>
      </c>
      <c r="G37" t="s" s="4">
        <v>275</v>
      </c>
      <c r="H37" s="7">
        <v>5</v>
      </c>
      <c r="I37" s="7">
        <v>7</v>
      </c>
      <c r="J37" s="7">
        <v>7</v>
      </c>
      <c r="K37" s="7">
        <v>6</v>
      </c>
      <c r="L37" s="7">
        <v>6</v>
      </c>
      <c r="M37" s="7">
        <v>6</v>
      </c>
      <c r="N37" s="7">
        <v>6</v>
      </c>
      <c r="O37" s="7">
        <v>6</v>
      </c>
      <c r="P37" s="7">
        <v>8</v>
      </c>
      <c r="Q37" s="7">
        <v>3</v>
      </c>
      <c r="R37" s="7">
        <v>7</v>
      </c>
      <c r="S37" s="7">
        <v>5</v>
      </c>
      <c r="T37" t="s" s="4">
        <v>70</v>
      </c>
      <c r="U37" t="s" s="4">
        <v>276</v>
      </c>
      <c r="V37" t="s" s="4">
        <v>277</v>
      </c>
      <c r="W37" s="8">
        <v>7</v>
      </c>
      <c r="X37" s="8">
        <v>6</v>
      </c>
      <c r="Y37" s="9">
        <v>0.76</v>
      </c>
      <c r="Z37" s="9">
        <v>2887</v>
      </c>
      <c r="AA37" s="5"/>
      <c r="AB37" s="7">
        <v>7</v>
      </c>
      <c r="AC37" t="s" s="4">
        <v>278</v>
      </c>
    </row>
    <row r="38" ht="15" customHeight="1">
      <c r="A38" s="7">
        <v>36</v>
      </c>
      <c r="B38" t="s" s="4">
        <v>279</v>
      </c>
      <c r="C38" t="s" s="4">
        <v>272</v>
      </c>
      <c r="D38" t="s" s="4">
        <v>280</v>
      </c>
      <c r="E38" s="7">
        <v>2</v>
      </c>
      <c r="F38" t="s" s="4">
        <v>281</v>
      </c>
      <c r="G38" t="s" s="4">
        <v>221</v>
      </c>
      <c r="H38" s="7">
        <v>8</v>
      </c>
      <c r="I38" s="7">
        <v>6</v>
      </c>
      <c r="J38" s="7">
        <v>8</v>
      </c>
      <c r="K38" s="7">
        <v>6</v>
      </c>
      <c r="L38" s="7">
        <v>5</v>
      </c>
      <c r="M38" s="7">
        <v>3</v>
      </c>
      <c r="N38" s="7">
        <v>5</v>
      </c>
      <c r="O38" s="7">
        <v>7</v>
      </c>
      <c r="P38" s="7">
        <v>7</v>
      </c>
      <c r="Q38" s="7">
        <v>3</v>
      </c>
      <c r="R38" s="7">
        <v>7</v>
      </c>
      <c r="S38" s="7">
        <v>4</v>
      </c>
      <c r="T38" t="s" s="4">
        <v>182</v>
      </c>
      <c r="U38" t="s" s="4">
        <v>191</v>
      </c>
      <c r="V38" t="s" s="4">
        <v>282</v>
      </c>
      <c r="W38" s="8">
        <v>7</v>
      </c>
      <c r="X38" s="8">
        <v>7</v>
      </c>
      <c r="Y38" s="9">
        <v>0.76</v>
      </c>
      <c r="Z38" s="9">
        <v>2887</v>
      </c>
      <c r="AA38" s="5"/>
      <c r="AB38" s="7">
        <v>7</v>
      </c>
      <c r="AC38" t="s" s="4">
        <v>283</v>
      </c>
    </row>
    <row r="39" ht="15" customHeight="1">
      <c r="A39" s="7">
        <v>37</v>
      </c>
      <c r="B39" t="s" s="4">
        <v>284</v>
      </c>
      <c r="C39" t="s" s="4">
        <v>285</v>
      </c>
      <c r="D39" t="s" s="4">
        <v>286</v>
      </c>
      <c r="E39" s="7">
        <v>1</v>
      </c>
      <c r="F39" t="s" s="4">
        <v>287</v>
      </c>
      <c r="G39" t="s" s="4">
        <v>92</v>
      </c>
      <c r="H39" s="7">
        <v>6</v>
      </c>
      <c r="I39" s="7">
        <v>8</v>
      </c>
      <c r="J39" s="7">
        <v>9</v>
      </c>
      <c r="K39" s="7">
        <v>6</v>
      </c>
      <c r="L39" s="7">
        <v>6</v>
      </c>
      <c r="M39" s="7">
        <v>6</v>
      </c>
      <c r="N39" s="7">
        <v>6</v>
      </c>
      <c r="O39" s="7">
        <v>6</v>
      </c>
      <c r="P39" s="7">
        <v>7</v>
      </c>
      <c r="Q39" s="7">
        <v>4</v>
      </c>
      <c r="R39" s="7">
        <v>6</v>
      </c>
      <c r="S39" s="7">
        <v>4</v>
      </c>
      <c r="T39" t="s" s="4">
        <v>288</v>
      </c>
      <c r="U39" t="s" s="4">
        <v>93</v>
      </c>
      <c r="V39" t="s" s="4">
        <v>289</v>
      </c>
      <c r="W39" s="8">
        <v>7</v>
      </c>
      <c r="X39" s="8">
        <v>7</v>
      </c>
      <c r="Y39" s="9">
        <v>0.74</v>
      </c>
      <c r="Z39" s="9">
        <v>4042</v>
      </c>
      <c r="AA39" s="5"/>
      <c r="AB39" s="7">
        <v>6</v>
      </c>
      <c r="AC39" t="s" s="4">
        <v>290</v>
      </c>
    </row>
    <row r="40" ht="15" customHeight="1">
      <c r="A40" s="7">
        <v>38</v>
      </c>
      <c r="B40" t="s" s="4">
        <v>291</v>
      </c>
      <c r="C40" t="s" s="4">
        <v>285</v>
      </c>
      <c r="D40" t="s" s="4">
        <v>292</v>
      </c>
      <c r="E40" s="7">
        <v>1</v>
      </c>
      <c r="F40" t="s" s="4">
        <v>293</v>
      </c>
      <c r="G40" t="s" s="4">
        <v>294</v>
      </c>
      <c r="H40" s="7">
        <v>4</v>
      </c>
      <c r="I40" s="7">
        <v>9</v>
      </c>
      <c r="J40" s="7">
        <v>6</v>
      </c>
      <c r="K40" s="7">
        <v>7</v>
      </c>
      <c r="L40" s="7">
        <v>5</v>
      </c>
      <c r="M40" s="7">
        <v>4</v>
      </c>
      <c r="N40" s="7">
        <v>4</v>
      </c>
      <c r="O40" s="7">
        <v>6</v>
      </c>
      <c r="P40" s="7">
        <v>7</v>
      </c>
      <c r="Q40" s="7">
        <v>4</v>
      </c>
      <c r="R40" s="7">
        <v>7</v>
      </c>
      <c r="S40" s="7">
        <v>5</v>
      </c>
      <c r="T40" t="s" s="4">
        <v>288</v>
      </c>
      <c r="U40" t="s" s="4">
        <v>54</v>
      </c>
      <c r="V40" t="s" s="4">
        <v>295</v>
      </c>
      <c r="W40" s="8">
        <v>8</v>
      </c>
      <c r="X40" s="8">
        <v>7</v>
      </c>
      <c r="Y40" s="9">
        <v>0.74</v>
      </c>
      <c r="Z40" s="9">
        <v>4042</v>
      </c>
      <c r="AA40" s="5"/>
      <c r="AB40" s="7">
        <v>5</v>
      </c>
      <c r="AC40" t="s" s="4">
        <v>296</v>
      </c>
    </row>
    <row r="41" ht="15" customHeight="1">
      <c r="A41" s="7">
        <v>39</v>
      </c>
      <c r="B41" t="s" s="4">
        <v>297</v>
      </c>
      <c r="C41" t="s" s="4">
        <v>298</v>
      </c>
      <c r="D41" t="s" s="4">
        <v>299</v>
      </c>
      <c r="E41" s="7">
        <v>3</v>
      </c>
      <c r="F41" t="s" s="4">
        <v>300</v>
      </c>
      <c r="G41" t="s" s="4">
        <v>301</v>
      </c>
      <c r="H41" s="7">
        <v>8</v>
      </c>
      <c r="I41" s="7">
        <v>3</v>
      </c>
      <c r="J41" s="7">
        <v>7</v>
      </c>
      <c r="K41" s="7">
        <v>4</v>
      </c>
      <c r="L41" s="7">
        <v>8</v>
      </c>
      <c r="M41" s="7">
        <v>7</v>
      </c>
      <c r="N41" s="7">
        <v>6</v>
      </c>
      <c r="O41" s="7">
        <v>6</v>
      </c>
      <c r="P41" s="7">
        <v>8</v>
      </c>
      <c r="Q41" s="7">
        <v>4</v>
      </c>
      <c r="R41" s="7">
        <v>6</v>
      </c>
      <c r="S41" s="7">
        <v>4</v>
      </c>
      <c r="T41" t="s" s="4">
        <v>36</v>
      </c>
      <c r="U41" t="s" s="4">
        <v>63</v>
      </c>
      <c r="V41" t="s" s="4">
        <v>302</v>
      </c>
      <c r="W41" s="8">
        <v>7</v>
      </c>
      <c r="X41" s="8">
        <v>5</v>
      </c>
      <c r="Y41" s="9">
        <v>0.92</v>
      </c>
      <c r="Z41" s="9">
        <v>1918</v>
      </c>
      <c r="AA41" s="5"/>
      <c r="AB41" s="7">
        <v>6</v>
      </c>
      <c r="AC41" t="s" s="4">
        <v>303</v>
      </c>
    </row>
    <row r="42" ht="15" customHeight="1">
      <c r="A42" s="7">
        <v>40</v>
      </c>
      <c r="B42" t="s" s="4">
        <v>304</v>
      </c>
      <c r="C42" t="s" s="4">
        <v>298</v>
      </c>
      <c r="D42" t="s" s="4">
        <v>305</v>
      </c>
      <c r="E42" s="7">
        <v>3</v>
      </c>
      <c r="F42" t="s" s="4">
        <v>262</v>
      </c>
      <c r="G42" t="s" s="4">
        <v>306</v>
      </c>
      <c r="H42" s="7">
        <v>8</v>
      </c>
      <c r="I42" s="7">
        <v>4</v>
      </c>
      <c r="J42" s="7">
        <v>8</v>
      </c>
      <c r="K42" s="7">
        <v>4</v>
      </c>
      <c r="L42" s="7">
        <v>7</v>
      </c>
      <c r="M42" s="7">
        <v>5</v>
      </c>
      <c r="N42" s="7">
        <v>6</v>
      </c>
      <c r="O42" s="7">
        <v>5</v>
      </c>
      <c r="P42" s="7">
        <v>7</v>
      </c>
      <c r="Q42" s="7">
        <v>5</v>
      </c>
      <c r="R42" s="7">
        <v>6</v>
      </c>
      <c r="S42" s="7">
        <v>5</v>
      </c>
      <c r="T42" t="s" s="4">
        <v>307</v>
      </c>
      <c r="U42" t="s" s="4">
        <v>308</v>
      </c>
      <c r="V42" t="s" s="4">
        <v>309</v>
      </c>
      <c r="W42" s="8">
        <v>8</v>
      </c>
      <c r="X42" s="8">
        <v>6</v>
      </c>
      <c r="Y42" s="9">
        <v>0.92</v>
      </c>
      <c r="Z42" s="9">
        <v>1918</v>
      </c>
      <c r="AA42" s="5"/>
      <c r="AB42" s="7">
        <v>7</v>
      </c>
      <c r="AC42" t="s" s="4">
        <v>310</v>
      </c>
    </row>
    <row r="43" ht="15" customHeight="1">
      <c r="A43" s="7">
        <v>41</v>
      </c>
      <c r="B43" t="s" s="4">
        <v>311</v>
      </c>
      <c r="C43" t="s" s="4">
        <v>312</v>
      </c>
      <c r="D43" t="s" s="4">
        <v>313</v>
      </c>
      <c r="E43" s="7">
        <v>3</v>
      </c>
      <c r="F43" t="s" s="4">
        <v>262</v>
      </c>
      <c r="G43" t="s" s="4">
        <v>314</v>
      </c>
      <c r="H43" s="7">
        <v>8</v>
      </c>
      <c r="I43" s="7">
        <v>3</v>
      </c>
      <c r="J43" s="7">
        <v>9</v>
      </c>
      <c r="K43" s="7">
        <v>4</v>
      </c>
      <c r="L43" s="7">
        <v>9</v>
      </c>
      <c r="M43" s="7">
        <v>7</v>
      </c>
      <c r="N43" s="7">
        <v>6</v>
      </c>
      <c r="O43" s="7">
        <v>4</v>
      </c>
      <c r="P43" s="7">
        <v>9</v>
      </c>
      <c r="Q43" s="7">
        <v>2</v>
      </c>
      <c r="R43" s="7">
        <v>8</v>
      </c>
      <c r="S43" s="7">
        <v>6</v>
      </c>
      <c r="T43" t="s" s="4">
        <v>36</v>
      </c>
      <c r="U43" t="s" s="4">
        <v>37</v>
      </c>
      <c r="V43" t="s" s="4">
        <v>315</v>
      </c>
      <c r="W43" s="8">
        <v>6</v>
      </c>
      <c r="X43" s="8">
        <v>3</v>
      </c>
      <c r="Y43" s="9">
        <v>0.98</v>
      </c>
      <c r="Z43" s="9">
        <v>1335</v>
      </c>
      <c r="AA43" s="5"/>
      <c r="AB43" s="7">
        <v>8</v>
      </c>
      <c r="AC43" t="s" s="4">
        <v>316</v>
      </c>
    </row>
    <row r="44" ht="15" customHeight="1">
      <c r="A44" s="7">
        <v>42</v>
      </c>
      <c r="B44" t="s" s="4">
        <v>317</v>
      </c>
      <c r="C44" t="s" s="4">
        <v>318</v>
      </c>
      <c r="D44" t="s" s="4">
        <v>273</v>
      </c>
      <c r="E44" s="7">
        <v>2</v>
      </c>
      <c r="F44" t="s" s="4">
        <v>154</v>
      </c>
      <c r="G44" t="s" s="4">
        <v>319</v>
      </c>
      <c r="H44" s="7">
        <v>9</v>
      </c>
      <c r="I44" s="7">
        <v>5</v>
      </c>
      <c r="J44" s="7">
        <v>10</v>
      </c>
      <c r="K44" s="7">
        <v>7</v>
      </c>
      <c r="L44" s="7">
        <v>8</v>
      </c>
      <c r="M44" s="7">
        <v>5</v>
      </c>
      <c r="N44" s="7">
        <v>7</v>
      </c>
      <c r="O44" s="7">
        <v>7</v>
      </c>
      <c r="P44" s="7">
        <v>8</v>
      </c>
      <c r="Q44" s="7">
        <v>3</v>
      </c>
      <c r="R44" s="7">
        <v>7</v>
      </c>
      <c r="S44" s="7">
        <v>5</v>
      </c>
      <c r="T44" t="s" s="4">
        <v>45</v>
      </c>
      <c r="U44" t="s" s="4">
        <v>46</v>
      </c>
      <c r="V44" t="s" s="4">
        <v>320</v>
      </c>
      <c r="W44" s="8">
        <v>6</v>
      </c>
      <c r="X44" s="8">
        <v>5</v>
      </c>
      <c r="Y44" s="9">
        <v>1.19</v>
      </c>
      <c r="Z44" s="9">
        <v>2924</v>
      </c>
      <c r="AA44" s="5"/>
      <c r="AB44" s="7">
        <v>9</v>
      </c>
      <c r="AC44" t="s" s="4">
        <v>321</v>
      </c>
    </row>
    <row r="45" ht="15" customHeight="1">
      <c r="A45" s="7">
        <v>43</v>
      </c>
      <c r="B45" t="s" s="4">
        <v>322</v>
      </c>
      <c r="C45" t="s" s="4">
        <v>323</v>
      </c>
      <c r="D45" t="s" s="4">
        <v>324</v>
      </c>
      <c r="E45" s="7">
        <v>1</v>
      </c>
      <c r="F45" t="s" s="4">
        <v>325</v>
      </c>
      <c r="G45" s="7">
        <v>297000</v>
      </c>
      <c r="H45" s="7">
        <v>10</v>
      </c>
      <c r="I45" s="7">
        <v>5</v>
      </c>
      <c r="J45" s="7">
        <v>9</v>
      </c>
      <c r="K45" s="7">
        <v>3</v>
      </c>
      <c r="L45" s="7">
        <v>7</v>
      </c>
      <c r="M45" s="7">
        <v>6</v>
      </c>
      <c r="N45" s="7">
        <v>7</v>
      </c>
      <c r="O45" s="7">
        <v>7</v>
      </c>
      <c r="P45" s="7">
        <v>8</v>
      </c>
      <c r="Q45" s="7">
        <v>1</v>
      </c>
      <c r="R45" s="7">
        <v>7</v>
      </c>
      <c r="S45" s="7">
        <v>5</v>
      </c>
      <c r="T45" t="s" s="4">
        <v>307</v>
      </c>
      <c r="U45" t="s" s="4">
        <v>326</v>
      </c>
      <c r="V45" t="s" s="4">
        <v>327</v>
      </c>
      <c r="W45" s="8">
        <v>6</v>
      </c>
      <c r="X45" s="8">
        <v>5</v>
      </c>
      <c r="Y45" s="9">
        <v>1</v>
      </c>
      <c r="Z45" s="9">
        <v>2729</v>
      </c>
      <c r="AA45" s="5"/>
      <c r="AB45" s="7">
        <v>8</v>
      </c>
      <c r="AC45" t="s" s="4">
        <v>328</v>
      </c>
    </row>
    <row r="46" ht="15" customHeight="1">
      <c r="A46" s="7">
        <v>44</v>
      </c>
      <c r="B46" t="s" s="4">
        <v>329</v>
      </c>
      <c r="C46" t="s" s="4">
        <v>330</v>
      </c>
      <c r="D46" t="s" s="4">
        <v>331</v>
      </c>
      <c r="E46" s="7">
        <v>1</v>
      </c>
      <c r="F46" t="s" s="4">
        <v>332</v>
      </c>
      <c r="G46" t="s" s="4">
        <v>333</v>
      </c>
      <c r="H46" s="7">
        <v>8</v>
      </c>
      <c r="I46" s="7">
        <v>8</v>
      </c>
      <c r="J46" s="7">
        <v>8</v>
      </c>
      <c r="K46" s="7">
        <v>6</v>
      </c>
      <c r="L46" s="7">
        <v>5</v>
      </c>
      <c r="M46" s="7">
        <v>4</v>
      </c>
      <c r="N46" s="7">
        <v>5</v>
      </c>
      <c r="O46" s="7">
        <v>5</v>
      </c>
      <c r="P46" s="7">
        <v>7</v>
      </c>
      <c r="Q46" s="7">
        <v>3</v>
      </c>
      <c r="R46" s="7">
        <v>7</v>
      </c>
      <c r="S46" s="7">
        <v>4</v>
      </c>
      <c r="T46" t="s" s="4">
        <v>182</v>
      </c>
      <c r="U46" t="s" s="4">
        <v>242</v>
      </c>
      <c r="V46" t="s" s="4">
        <v>334</v>
      </c>
      <c r="W46" s="8">
        <v>7</v>
      </c>
      <c r="X46" s="8">
        <v>7</v>
      </c>
      <c r="Y46" s="9">
        <v>0.89</v>
      </c>
      <c r="Z46" s="9">
        <v>3979</v>
      </c>
      <c r="AA46" s="5"/>
      <c r="AB46" s="7">
        <v>6</v>
      </c>
      <c r="AC46" t="s" s="4">
        <v>335</v>
      </c>
    </row>
    <row r="47" ht="15" customHeight="1">
      <c r="A47" s="7">
        <v>45</v>
      </c>
      <c r="B47" t="s" s="4">
        <v>336</v>
      </c>
      <c r="C47" t="s" s="4">
        <v>330</v>
      </c>
      <c r="D47" t="s" s="4">
        <v>337</v>
      </c>
      <c r="E47" s="7">
        <v>1</v>
      </c>
      <c r="F47" t="s" s="4">
        <v>338</v>
      </c>
      <c r="G47" t="s" s="4">
        <v>339</v>
      </c>
      <c r="H47" s="7">
        <v>8</v>
      </c>
      <c r="I47" s="7">
        <v>8</v>
      </c>
      <c r="J47" s="7">
        <v>10</v>
      </c>
      <c r="K47" s="7">
        <v>6</v>
      </c>
      <c r="L47" s="7">
        <v>6</v>
      </c>
      <c r="M47" s="7">
        <v>6</v>
      </c>
      <c r="N47" s="7">
        <v>7</v>
      </c>
      <c r="O47" s="7">
        <v>5</v>
      </c>
      <c r="P47" s="7">
        <v>8</v>
      </c>
      <c r="Q47" s="7">
        <v>4</v>
      </c>
      <c r="R47" s="7">
        <v>7</v>
      </c>
      <c r="S47" s="7">
        <v>5</v>
      </c>
      <c r="T47" t="s" s="4">
        <v>182</v>
      </c>
      <c r="U47" t="s" s="4">
        <v>183</v>
      </c>
      <c r="V47" t="s" s="4">
        <v>340</v>
      </c>
      <c r="W47" s="8">
        <v>8</v>
      </c>
      <c r="X47" s="8">
        <v>8</v>
      </c>
      <c r="Y47" s="9">
        <v>0.89</v>
      </c>
      <c r="Z47" s="9">
        <v>3979</v>
      </c>
      <c r="AA47" s="5"/>
      <c r="AB47" s="7">
        <v>5</v>
      </c>
      <c r="AC47" t="s" s="4">
        <v>341</v>
      </c>
    </row>
    <row r="48" ht="15" customHeight="1">
      <c r="A48" s="7">
        <v>46</v>
      </c>
      <c r="B48" t="s" s="4">
        <v>342</v>
      </c>
      <c r="C48" t="s" s="4">
        <v>343</v>
      </c>
      <c r="D48" t="s" s="4">
        <v>344</v>
      </c>
      <c r="E48" s="7">
        <v>4</v>
      </c>
      <c r="F48" t="s" s="4">
        <v>345</v>
      </c>
      <c r="G48" t="s" s="4">
        <v>346</v>
      </c>
      <c r="H48" s="7">
        <v>7</v>
      </c>
      <c r="I48" s="7">
        <v>3</v>
      </c>
      <c r="J48" s="7">
        <v>6</v>
      </c>
      <c r="K48" s="7">
        <v>5</v>
      </c>
      <c r="L48" s="7">
        <v>5</v>
      </c>
      <c r="M48" s="7">
        <v>9</v>
      </c>
      <c r="N48" s="7">
        <v>7</v>
      </c>
      <c r="O48" s="7">
        <v>7</v>
      </c>
      <c r="P48" s="7">
        <v>7</v>
      </c>
      <c r="Q48" s="7">
        <v>2</v>
      </c>
      <c r="R48" s="7">
        <v>8</v>
      </c>
      <c r="S48" s="7">
        <v>9</v>
      </c>
      <c r="T48" t="s" s="4">
        <v>135</v>
      </c>
      <c r="U48" t="s" s="4">
        <v>347</v>
      </c>
      <c r="V48" t="s" s="4">
        <v>348</v>
      </c>
      <c r="W48" s="8">
        <v>3</v>
      </c>
      <c r="X48" s="8">
        <v>3</v>
      </c>
      <c r="Y48" s="9">
        <v>0.61</v>
      </c>
      <c r="Z48" s="9">
        <v>3215</v>
      </c>
      <c r="AA48" s="5"/>
      <c r="AB48" s="7">
        <v>5</v>
      </c>
      <c r="AC48" t="s" s="4">
        <v>265</v>
      </c>
    </row>
    <row r="49" ht="15" customHeight="1">
      <c r="A49" s="7">
        <v>47</v>
      </c>
      <c r="B49" t="s" s="4">
        <v>349</v>
      </c>
      <c r="C49" t="s" s="4">
        <v>343</v>
      </c>
      <c r="D49" t="s" s="4">
        <v>350</v>
      </c>
      <c r="E49" s="7">
        <v>3</v>
      </c>
      <c r="F49" t="s" s="4">
        <v>351</v>
      </c>
      <c r="G49" t="s" s="4">
        <v>352</v>
      </c>
      <c r="H49" s="7">
        <v>5</v>
      </c>
      <c r="I49" s="7">
        <v>4</v>
      </c>
      <c r="J49" s="7">
        <v>7</v>
      </c>
      <c r="K49" s="7">
        <v>5</v>
      </c>
      <c r="L49" s="7">
        <v>5</v>
      </c>
      <c r="M49" s="7">
        <v>8</v>
      </c>
      <c r="N49" s="7">
        <v>6</v>
      </c>
      <c r="O49" s="7">
        <v>3</v>
      </c>
      <c r="P49" s="7">
        <v>8</v>
      </c>
      <c r="Q49" s="7">
        <v>3</v>
      </c>
      <c r="R49" s="7">
        <v>6</v>
      </c>
      <c r="S49" s="7">
        <v>9</v>
      </c>
      <c r="T49" t="s" s="4">
        <v>135</v>
      </c>
      <c r="U49" t="s" s="4">
        <v>347</v>
      </c>
      <c r="V49" t="s" s="4">
        <v>353</v>
      </c>
      <c r="W49" s="8">
        <v>4</v>
      </c>
      <c r="X49" s="8">
        <v>4</v>
      </c>
      <c r="Y49" s="9">
        <v>0.61</v>
      </c>
      <c r="Z49" s="9">
        <v>3215</v>
      </c>
      <c r="AA49" s="5"/>
      <c r="AB49" s="7">
        <v>5</v>
      </c>
      <c r="AC49" t="s" s="4">
        <v>354</v>
      </c>
    </row>
    <row r="50" ht="15" customHeight="1">
      <c r="A50" s="7">
        <v>48</v>
      </c>
      <c r="B50" t="s" s="4">
        <v>355</v>
      </c>
      <c r="C50" t="s" s="4">
        <v>343</v>
      </c>
      <c r="D50" t="s" s="4">
        <v>160</v>
      </c>
      <c r="E50" s="7">
        <v>4</v>
      </c>
      <c r="F50" t="s" s="4">
        <v>356</v>
      </c>
      <c r="G50" t="s" s="4">
        <v>357</v>
      </c>
      <c r="H50" s="7">
        <v>6</v>
      </c>
      <c r="I50" s="7">
        <v>4</v>
      </c>
      <c r="J50" s="7">
        <v>5</v>
      </c>
      <c r="K50" s="7">
        <v>5</v>
      </c>
      <c r="L50" s="7">
        <v>6</v>
      </c>
      <c r="M50" s="7">
        <v>9</v>
      </c>
      <c r="N50" s="7">
        <v>5</v>
      </c>
      <c r="O50" s="7">
        <v>8</v>
      </c>
      <c r="P50" s="7">
        <v>6</v>
      </c>
      <c r="Q50" s="7">
        <v>2</v>
      </c>
      <c r="R50" s="7">
        <v>5</v>
      </c>
      <c r="S50" s="7">
        <v>4</v>
      </c>
      <c r="T50" t="s" s="4">
        <v>263</v>
      </c>
      <c r="U50" t="s" s="4">
        <v>358</v>
      </c>
      <c r="V50" t="s" s="4">
        <v>359</v>
      </c>
      <c r="W50" s="8">
        <v>5</v>
      </c>
      <c r="X50" s="8">
        <v>3</v>
      </c>
      <c r="Y50" s="9">
        <v>0.61</v>
      </c>
      <c r="Z50" s="9">
        <v>3215</v>
      </c>
      <c r="AA50" s="5"/>
      <c r="AB50" s="7">
        <v>5</v>
      </c>
      <c r="AC50" t="s" s="4">
        <v>270</v>
      </c>
    </row>
    <row r="51" ht="15" customHeight="1">
      <c r="A51" s="7">
        <v>49</v>
      </c>
      <c r="B51" t="s" s="4">
        <v>360</v>
      </c>
      <c r="C51" t="s" s="4">
        <v>361</v>
      </c>
      <c r="D51" t="s" s="4">
        <v>362</v>
      </c>
      <c r="E51" s="7">
        <v>2</v>
      </c>
      <c r="F51" t="s" s="4">
        <v>281</v>
      </c>
      <c r="G51" t="s" s="4">
        <v>215</v>
      </c>
      <c r="H51" s="7">
        <v>5</v>
      </c>
      <c r="I51" s="7">
        <v>5</v>
      </c>
      <c r="J51" s="7">
        <v>5</v>
      </c>
      <c r="K51" s="7">
        <v>6</v>
      </c>
      <c r="L51" s="7">
        <v>7</v>
      </c>
      <c r="M51" s="7">
        <v>10</v>
      </c>
      <c r="N51" s="7">
        <v>6</v>
      </c>
      <c r="O51" s="7">
        <v>5</v>
      </c>
      <c r="P51" s="7">
        <v>9</v>
      </c>
      <c r="Q51" s="7">
        <v>5</v>
      </c>
      <c r="R51" s="7">
        <v>8</v>
      </c>
      <c r="S51" s="7">
        <v>7</v>
      </c>
      <c r="T51" t="s" s="4">
        <v>135</v>
      </c>
      <c r="U51" t="s" s="4">
        <v>63</v>
      </c>
      <c r="V51" t="s" s="4">
        <v>363</v>
      </c>
      <c r="W51" s="8">
        <v>7</v>
      </c>
      <c r="X51" s="8">
        <v>4</v>
      </c>
      <c r="Y51" s="9">
        <v>0.66</v>
      </c>
      <c r="Z51" s="9">
        <v>3124</v>
      </c>
      <c r="AA51" t="s" s="10">
        <v>364</v>
      </c>
      <c r="AB51" s="7">
        <v>5</v>
      </c>
      <c r="AC51" t="s" s="4">
        <v>365</v>
      </c>
    </row>
    <row r="52" ht="15" customHeight="1">
      <c r="A52" s="7">
        <v>50</v>
      </c>
      <c r="B52" t="s" s="4">
        <v>366</v>
      </c>
      <c r="C52" t="s" s="4">
        <v>361</v>
      </c>
      <c r="D52" t="s" s="4">
        <v>367</v>
      </c>
      <c r="E52" s="7">
        <v>1</v>
      </c>
      <c r="F52" t="s" s="4">
        <v>325</v>
      </c>
      <c r="G52" t="s" s="4">
        <v>368</v>
      </c>
      <c r="H52" s="7">
        <v>4</v>
      </c>
      <c r="I52" s="7">
        <v>7</v>
      </c>
      <c r="J52" s="7">
        <v>5</v>
      </c>
      <c r="K52" s="7">
        <v>7</v>
      </c>
      <c r="L52" s="7">
        <v>5</v>
      </c>
      <c r="M52" s="7">
        <v>8</v>
      </c>
      <c r="N52" s="7">
        <v>7</v>
      </c>
      <c r="O52" s="7">
        <v>8</v>
      </c>
      <c r="P52" s="7">
        <v>8</v>
      </c>
      <c r="Q52" s="7">
        <v>7</v>
      </c>
      <c r="R52" s="7">
        <v>5</v>
      </c>
      <c r="S52" s="7">
        <v>6</v>
      </c>
      <c r="T52" t="s" s="4">
        <v>36</v>
      </c>
      <c r="U52" t="s" s="4">
        <v>369</v>
      </c>
      <c r="V52" t="s" s="4">
        <v>370</v>
      </c>
      <c r="W52" s="8">
        <v>9</v>
      </c>
      <c r="X52" s="8">
        <v>6</v>
      </c>
      <c r="Y52" s="9">
        <v>0.66</v>
      </c>
      <c r="Z52" s="9">
        <v>3124</v>
      </c>
      <c r="AA52" t="s" s="10">
        <v>364</v>
      </c>
      <c r="AB52" s="7">
        <v>2</v>
      </c>
      <c r="AC52" t="s" s="4">
        <v>371</v>
      </c>
    </row>
    <row r="53" ht="15" customHeight="1">
      <c r="A53" s="7">
        <v>51</v>
      </c>
      <c r="B53" t="s" s="4">
        <v>372</v>
      </c>
      <c r="C53" t="s" s="4">
        <v>361</v>
      </c>
      <c r="D53" t="s" s="4">
        <v>373</v>
      </c>
      <c r="E53" s="7">
        <v>2</v>
      </c>
      <c r="F53" t="s" s="4">
        <v>281</v>
      </c>
      <c r="G53" t="s" s="4">
        <v>374</v>
      </c>
      <c r="H53" s="7">
        <v>9</v>
      </c>
      <c r="I53" s="7">
        <v>6</v>
      </c>
      <c r="J53" s="7">
        <v>10</v>
      </c>
      <c r="K53" s="7">
        <v>7</v>
      </c>
      <c r="L53" s="7">
        <v>4</v>
      </c>
      <c r="M53" s="7">
        <v>6</v>
      </c>
      <c r="N53" s="7">
        <v>6</v>
      </c>
      <c r="O53" s="7">
        <v>6</v>
      </c>
      <c r="P53" s="7">
        <v>7</v>
      </c>
      <c r="Q53" s="7">
        <v>5</v>
      </c>
      <c r="R53" s="7">
        <v>5</v>
      </c>
      <c r="S53" s="7">
        <v>4</v>
      </c>
      <c r="T53" t="s" s="4">
        <v>307</v>
      </c>
      <c r="U53" t="s" s="4">
        <v>63</v>
      </c>
      <c r="V53" t="s" s="4">
        <v>375</v>
      </c>
      <c r="W53" s="8">
        <v>8</v>
      </c>
      <c r="X53" s="8">
        <v>7</v>
      </c>
      <c r="Y53" s="9">
        <v>0.66</v>
      </c>
      <c r="Z53" s="9">
        <v>3124</v>
      </c>
      <c r="AA53" t="s" s="10">
        <v>364</v>
      </c>
      <c r="AB53" s="7">
        <v>7</v>
      </c>
      <c r="AC53" t="s" s="4">
        <v>376</v>
      </c>
    </row>
    <row r="54" ht="15" customHeight="1">
      <c r="A54" s="7">
        <v>52</v>
      </c>
      <c r="B54" t="s" s="4">
        <v>178</v>
      </c>
      <c r="C54" t="s" s="4">
        <v>361</v>
      </c>
      <c r="D54" t="s" s="4">
        <v>377</v>
      </c>
      <c r="E54" s="7">
        <v>2</v>
      </c>
      <c r="F54" t="s" s="4">
        <v>34</v>
      </c>
      <c r="G54" t="s" s="4">
        <v>378</v>
      </c>
      <c r="H54" s="7">
        <v>6</v>
      </c>
      <c r="I54" s="7">
        <v>6</v>
      </c>
      <c r="J54" s="7">
        <v>5</v>
      </c>
      <c r="K54" s="7">
        <v>7</v>
      </c>
      <c r="L54" s="7">
        <v>5</v>
      </c>
      <c r="M54" s="7">
        <v>7</v>
      </c>
      <c r="N54" s="7">
        <v>6</v>
      </c>
      <c r="O54" s="7">
        <v>3</v>
      </c>
      <c r="P54" s="7">
        <v>7</v>
      </c>
      <c r="Q54" s="7">
        <v>6</v>
      </c>
      <c r="R54" s="7">
        <v>6</v>
      </c>
      <c r="S54" s="7">
        <v>4</v>
      </c>
      <c r="T54" t="s" s="4">
        <v>36</v>
      </c>
      <c r="U54" t="s" s="4">
        <v>63</v>
      </c>
      <c r="V54" t="s" s="4">
        <v>379</v>
      </c>
      <c r="W54" s="8">
        <v>9</v>
      </c>
      <c r="X54" s="8">
        <v>7</v>
      </c>
      <c r="Y54" s="9">
        <v>0.66</v>
      </c>
      <c r="Z54" s="9">
        <v>3124</v>
      </c>
      <c r="AA54" t="s" s="10">
        <v>364</v>
      </c>
      <c r="AB54" s="7">
        <v>2</v>
      </c>
      <c r="AC54" t="s" s="4">
        <v>380</v>
      </c>
    </row>
    <row r="55" ht="15" customHeight="1">
      <c r="A55" s="7">
        <v>53</v>
      </c>
      <c r="B55" t="s" s="4">
        <v>381</v>
      </c>
      <c r="C55" t="s" s="4">
        <v>382</v>
      </c>
      <c r="D55" t="s" s="4">
        <v>383</v>
      </c>
      <c r="E55" s="7">
        <v>2</v>
      </c>
      <c r="F55" t="s" s="4">
        <v>384</v>
      </c>
      <c r="G55" t="s" s="4">
        <v>385</v>
      </c>
      <c r="H55" s="7">
        <v>8</v>
      </c>
      <c r="I55" s="7">
        <v>4</v>
      </c>
      <c r="J55" s="7">
        <v>8</v>
      </c>
      <c r="K55" s="7">
        <v>9</v>
      </c>
      <c r="L55" s="7">
        <v>6</v>
      </c>
      <c r="M55" s="7">
        <v>5</v>
      </c>
      <c r="N55" s="7">
        <v>5</v>
      </c>
      <c r="O55" s="7">
        <v>6</v>
      </c>
      <c r="P55" s="7">
        <v>6</v>
      </c>
      <c r="Q55" s="7">
        <v>2</v>
      </c>
      <c r="R55" s="7">
        <v>7</v>
      </c>
      <c r="S55" s="7">
        <v>6</v>
      </c>
      <c r="T55" t="s" s="4">
        <v>288</v>
      </c>
      <c r="U55" t="s" s="4">
        <v>37</v>
      </c>
      <c r="V55" t="s" s="4">
        <v>386</v>
      </c>
      <c r="W55" s="8">
        <v>6</v>
      </c>
      <c r="X55" s="8">
        <v>5</v>
      </c>
      <c r="Y55" s="9">
        <v>1.5</v>
      </c>
      <c r="Z55" s="9">
        <v>1300</v>
      </c>
      <c r="AA55" s="5"/>
      <c r="AB55" s="7">
        <v>8</v>
      </c>
      <c r="AC55" t="s" s="4">
        <v>387</v>
      </c>
    </row>
    <row r="56" ht="15" customHeight="1">
      <c r="A56" s="7">
        <v>54</v>
      </c>
      <c r="B56" t="s" s="4">
        <v>388</v>
      </c>
      <c r="C56" t="s" s="4">
        <v>389</v>
      </c>
      <c r="D56" t="s" s="4">
        <v>390</v>
      </c>
      <c r="E56" s="7">
        <v>1</v>
      </c>
      <c r="F56" t="s" s="4">
        <v>391</v>
      </c>
      <c r="G56" t="s" s="4">
        <v>392</v>
      </c>
      <c r="H56" s="7">
        <v>7</v>
      </c>
      <c r="I56" s="7">
        <v>7</v>
      </c>
      <c r="J56" s="7">
        <v>7</v>
      </c>
      <c r="K56" s="7">
        <v>6</v>
      </c>
      <c r="L56" s="7">
        <v>4</v>
      </c>
      <c r="M56" s="7">
        <v>5</v>
      </c>
      <c r="N56" s="7">
        <v>6</v>
      </c>
      <c r="O56" s="7">
        <v>7</v>
      </c>
      <c r="P56" s="7">
        <v>5</v>
      </c>
      <c r="Q56" s="7">
        <v>6</v>
      </c>
      <c r="R56" s="7">
        <v>8</v>
      </c>
      <c r="S56" s="7">
        <v>7</v>
      </c>
      <c r="T56" t="s" s="4">
        <v>393</v>
      </c>
      <c r="U56" t="s" s="4">
        <v>156</v>
      </c>
      <c r="V56" t="s" s="4">
        <v>394</v>
      </c>
      <c r="W56" s="8">
        <v>2</v>
      </c>
      <c r="X56" s="8">
        <v>7</v>
      </c>
      <c r="Y56" s="9">
        <v>0.63</v>
      </c>
      <c r="Z56" s="9">
        <v>2869</v>
      </c>
      <c r="AA56" s="5"/>
      <c r="AB56" s="7">
        <v>6</v>
      </c>
      <c r="AC56" t="s" s="4">
        <v>395</v>
      </c>
    </row>
    <row r="57" ht="15" customHeight="1">
      <c r="A57" s="7">
        <v>55</v>
      </c>
      <c r="B57" t="s" s="4">
        <v>396</v>
      </c>
      <c r="C57" t="s" s="4">
        <v>389</v>
      </c>
      <c r="D57" t="s" s="4">
        <v>397</v>
      </c>
      <c r="E57" s="7">
        <v>3</v>
      </c>
      <c r="F57" t="s" s="4">
        <v>68</v>
      </c>
      <c r="G57" t="s" s="4">
        <v>398</v>
      </c>
      <c r="H57" s="7">
        <v>5</v>
      </c>
      <c r="I57" s="7">
        <v>6</v>
      </c>
      <c r="J57" s="7">
        <v>7</v>
      </c>
      <c r="K57" s="7">
        <v>5</v>
      </c>
      <c r="L57" s="7">
        <v>6</v>
      </c>
      <c r="M57" s="7">
        <v>7</v>
      </c>
      <c r="N57" s="7">
        <v>6</v>
      </c>
      <c r="O57" s="7">
        <v>3</v>
      </c>
      <c r="P57" s="7">
        <v>10</v>
      </c>
      <c r="Q57" s="7">
        <v>4</v>
      </c>
      <c r="R57" s="7">
        <v>8</v>
      </c>
      <c r="S57" s="7">
        <v>8</v>
      </c>
      <c r="T57" t="s" s="4">
        <v>62</v>
      </c>
      <c r="U57" t="s" s="4">
        <v>37</v>
      </c>
      <c r="V57" t="s" s="4">
        <v>399</v>
      </c>
      <c r="W57" s="8">
        <v>3</v>
      </c>
      <c r="X57" s="8">
        <v>5</v>
      </c>
      <c r="Y57" s="9">
        <v>0.63</v>
      </c>
      <c r="Z57" s="9">
        <v>2869</v>
      </c>
      <c r="AA57" s="5"/>
      <c r="AB57" s="7">
        <v>5</v>
      </c>
      <c r="AC57" t="s" s="4">
        <v>400</v>
      </c>
    </row>
    <row r="58" ht="15" customHeight="1">
      <c r="A58" s="7">
        <v>56</v>
      </c>
      <c r="B58" t="s" s="4">
        <v>401</v>
      </c>
      <c r="C58" t="s" s="4">
        <v>402</v>
      </c>
      <c r="D58" t="s" s="4">
        <v>403</v>
      </c>
      <c r="E58" s="7">
        <v>2</v>
      </c>
      <c r="F58" t="s" s="4">
        <v>384</v>
      </c>
      <c r="G58" t="s" s="4">
        <v>404</v>
      </c>
      <c r="H58" s="7">
        <v>10</v>
      </c>
      <c r="I58" s="7">
        <v>5</v>
      </c>
      <c r="J58" s="7">
        <v>7</v>
      </c>
      <c r="K58" s="7">
        <v>10</v>
      </c>
      <c r="L58" s="7">
        <v>3</v>
      </c>
      <c r="M58" s="7">
        <v>7</v>
      </c>
      <c r="N58" s="7">
        <v>7</v>
      </c>
      <c r="O58" s="7">
        <v>5</v>
      </c>
      <c r="P58" s="7">
        <v>8</v>
      </c>
      <c r="Q58" s="7">
        <v>8</v>
      </c>
      <c r="R58" s="7">
        <v>3</v>
      </c>
      <c r="S58" s="7">
        <v>7</v>
      </c>
      <c r="T58" t="s" s="4">
        <v>405</v>
      </c>
      <c r="U58" t="s" s="4">
        <v>216</v>
      </c>
      <c r="V58" t="s" s="4">
        <v>406</v>
      </c>
      <c r="W58" s="8">
        <v>1</v>
      </c>
      <c r="X58" s="8">
        <v>10</v>
      </c>
      <c r="Y58" s="9">
        <v>0.5</v>
      </c>
      <c r="Z58" s="9">
        <v>1774</v>
      </c>
      <c r="AA58" s="5"/>
      <c r="AB58" s="7">
        <v>5</v>
      </c>
      <c r="AC58" t="s" s="4">
        <v>95</v>
      </c>
    </row>
    <row r="59" ht="15" customHeight="1">
      <c r="A59" s="7">
        <v>57</v>
      </c>
      <c r="B59" t="s" s="4">
        <v>407</v>
      </c>
      <c r="C59" t="s" s="4">
        <v>408</v>
      </c>
      <c r="D59" t="s" s="4">
        <v>409</v>
      </c>
      <c r="E59" s="7">
        <v>3</v>
      </c>
      <c r="F59" t="s" s="4">
        <v>410</v>
      </c>
      <c r="G59" t="s" s="4">
        <v>411</v>
      </c>
      <c r="H59" s="7">
        <v>6</v>
      </c>
      <c r="I59" s="7">
        <v>3</v>
      </c>
      <c r="J59" s="7">
        <v>6</v>
      </c>
      <c r="K59" s="7">
        <v>2</v>
      </c>
      <c r="L59" s="7">
        <v>8</v>
      </c>
      <c r="M59" s="7">
        <v>7</v>
      </c>
      <c r="N59" s="7">
        <v>6</v>
      </c>
      <c r="O59" s="7">
        <v>8</v>
      </c>
      <c r="P59" s="7">
        <v>8</v>
      </c>
      <c r="Q59" s="7">
        <v>2</v>
      </c>
      <c r="R59" s="7">
        <v>7</v>
      </c>
      <c r="S59" s="7">
        <v>6</v>
      </c>
      <c r="T59" t="s" s="4">
        <v>45</v>
      </c>
      <c r="U59" t="s" s="4">
        <v>63</v>
      </c>
      <c r="V59" t="s" s="4">
        <v>412</v>
      </c>
      <c r="W59" s="8">
        <v>6</v>
      </c>
      <c r="X59" s="8">
        <v>5</v>
      </c>
      <c r="Y59" s="9">
        <v>1.3</v>
      </c>
      <c r="Z59" s="9">
        <v>1683</v>
      </c>
      <c r="AA59" s="5"/>
      <c r="AB59" s="7">
        <v>8</v>
      </c>
      <c r="AC59" t="s" s="4">
        <v>413</v>
      </c>
    </row>
    <row r="60" ht="15" customHeight="1">
      <c r="A60" s="7">
        <v>58</v>
      </c>
      <c r="B60" t="s" s="4">
        <v>414</v>
      </c>
      <c r="C60" t="s" s="4">
        <v>415</v>
      </c>
      <c r="D60" t="s" s="4">
        <v>416</v>
      </c>
      <c r="E60" s="7">
        <v>1</v>
      </c>
      <c r="F60" t="s" s="4">
        <v>417</v>
      </c>
      <c r="G60" t="s" s="4">
        <v>339</v>
      </c>
      <c r="H60" s="7">
        <v>8</v>
      </c>
      <c r="I60" s="7">
        <v>7</v>
      </c>
      <c r="J60" s="7">
        <v>9</v>
      </c>
      <c r="K60" s="7">
        <v>6</v>
      </c>
      <c r="L60" s="7">
        <v>5</v>
      </c>
      <c r="M60" s="7">
        <v>5</v>
      </c>
      <c r="N60" s="7">
        <v>7</v>
      </c>
      <c r="O60" s="7">
        <v>6</v>
      </c>
      <c r="P60" s="7">
        <v>8</v>
      </c>
      <c r="Q60" s="7">
        <v>3</v>
      </c>
      <c r="R60" s="7">
        <v>6</v>
      </c>
      <c r="S60" s="7">
        <v>4</v>
      </c>
      <c r="T60" t="s" s="4">
        <v>182</v>
      </c>
      <c r="U60" t="s" s="4">
        <v>250</v>
      </c>
      <c r="V60" t="s" s="4">
        <v>418</v>
      </c>
      <c r="W60" s="8">
        <v>7</v>
      </c>
      <c r="X60" s="8">
        <v>6</v>
      </c>
      <c r="Y60" s="9">
        <v>1.36</v>
      </c>
      <c r="Z60" s="9">
        <v>2118</v>
      </c>
      <c r="AA60" s="5"/>
      <c r="AB60" s="7">
        <v>8</v>
      </c>
      <c r="AC60" t="s" s="4">
        <v>419</v>
      </c>
    </row>
    <row r="61" ht="15" customHeight="1">
      <c r="A61" s="7">
        <v>59</v>
      </c>
      <c r="B61" t="s" s="4">
        <v>420</v>
      </c>
      <c r="C61" t="s" s="4">
        <v>421</v>
      </c>
      <c r="D61" t="s" s="4">
        <v>255</v>
      </c>
      <c r="E61" s="7">
        <v>4</v>
      </c>
      <c r="F61" t="s" s="4">
        <v>422</v>
      </c>
      <c r="G61" t="s" s="4">
        <v>423</v>
      </c>
      <c r="H61" s="7">
        <v>6</v>
      </c>
      <c r="I61" s="7">
        <v>4</v>
      </c>
      <c r="J61" s="7">
        <v>8</v>
      </c>
      <c r="K61" s="7">
        <v>4</v>
      </c>
      <c r="L61" s="7">
        <v>7</v>
      </c>
      <c r="M61" s="7">
        <v>10</v>
      </c>
      <c r="N61" s="7">
        <v>7</v>
      </c>
      <c r="O61" s="7">
        <v>8</v>
      </c>
      <c r="P61" s="7">
        <v>7</v>
      </c>
      <c r="Q61" s="7">
        <v>5</v>
      </c>
      <c r="R61" s="7">
        <v>8</v>
      </c>
      <c r="S61" s="7">
        <v>9</v>
      </c>
      <c r="T61" t="s" s="4">
        <v>263</v>
      </c>
      <c r="U61" t="s" s="4">
        <v>424</v>
      </c>
      <c r="V61" t="s" s="4">
        <v>425</v>
      </c>
      <c r="W61" s="8">
        <v>3</v>
      </c>
      <c r="X61" s="8">
        <v>4</v>
      </c>
      <c r="Y61" s="9">
        <v>0.8100000000000001</v>
      </c>
      <c r="Z61" s="9">
        <v>1572</v>
      </c>
      <c r="AA61" s="5"/>
      <c r="AB61" s="7">
        <v>4</v>
      </c>
      <c r="AC61" t="s" s="4">
        <v>426</v>
      </c>
    </row>
    <row r="62" ht="15" customHeight="1">
      <c r="A62" s="7">
        <v>60</v>
      </c>
      <c r="B62" t="s" s="4">
        <v>427</v>
      </c>
      <c r="C62" t="s" s="4">
        <v>421</v>
      </c>
      <c r="D62" t="s" s="4">
        <v>42</v>
      </c>
      <c r="E62" s="7">
        <v>2</v>
      </c>
      <c r="F62" t="s" s="4">
        <v>154</v>
      </c>
      <c r="G62" t="s" s="4">
        <v>404</v>
      </c>
      <c r="H62" s="7">
        <v>5</v>
      </c>
      <c r="I62" s="7">
        <v>4</v>
      </c>
      <c r="J62" s="7">
        <v>7</v>
      </c>
      <c r="K62" s="7">
        <v>4</v>
      </c>
      <c r="L62" s="7">
        <v>7</v>
      </c>
      <c r="M62" s="7">
        <v>8</v>
      </c>
      <c r="N62" s="7">
        <v>6</v>
      </c>
      <c r="O62" s="7">
        <v>5</v>
      </c>
      <c r="P62" s="7">
        <v>7</v>
      </c>
      <c r="Q62" s="7">
        <v>5</v>
      </c>
      <c r="R62" s="7">
        <v>7</v>
      </c>
      <c r="S62" s="7">
        <v>8</v>
      </c>
      <c r="T62" t="s" s="4">
        <v>263</v>
      </c>
      <c r="U62" t="s" s="4">
        <v>46</v>
      </c>
      <c r="V62" t="s" s="4">
        <v>428</v>
      </c>
      <c r="W62" s="8">
        <v>6</v>
      </c>
      <c r="X62" s="8">
        <v>4</v>
      </c>
      <c r="Y62" s="9">
        <v>0.8100000000000001</v>
      </c>
      <c r="Z62" s="9">
        <v>1572</v>
      </c>
      <c r="AA62" s="5"/>
      <c r="AB62" s="7">
        <v>5</v>
      </c>
      <c r="AC62" t="s" s="4">
        <v>429</v>
      </c>
    </row>
    <row r="63" ht="15" customHeight="1">
      <c r="A63" s="7">
        <v>61</v>
      </c>
      <c r="B63" t="s" s="4">
        <v>430</v>
      </c>
      <c r="C63" t="s" s="4">
        <v>431</v>
      </c>
      <c r="D63" t="s" s="4">
        <v>432</v>
      </c>
      <c r="E63" s="7">
        <v>1</v>
      </c>
      <c r="F63" t="s" s="4">
        <v>248</v>
      </c>
      <c r="G63" t="s" s="4">
        <v>433</v>
      </c>
      <c r="H63" s="7">
        <v>8</v>
      </c>
      <c r="I63" s="7">
        <v>5</v>
      </c>
      <c r="J63" s="7">
        <v>10</v>
      </c>
      <c r="K63" s="7">
        <v>6</v>
      </c>
      <c r="L63" s="7">
        <v>8</v>
      </c>
      <c r="M63" s="7">
        <v>5</v>
      </c>
      <c r="N63" s="7">
        <v>7</v>
      </c>
      <c r="O63" s="7">
        <v>6</v>
      </c>
      <c r="P63" s="7">
        <v>9</v>
      </c>
      <c r="Q63" s="7">
        <v>5</v>
      </c>
      <c r="R63" s="7">
        <v>6</v>
      </c>
      <c r="S63" s="7">
        <v>5</v>
      </c>
      <c r="T63" t="s" s="4">
        <v>434</v>
      </c>
      <c r="U63" t="s" s="4">
        <v>435</v>
      </c>
      <c r="V63" t="s" s="4">
        <v>436</v>
      </c>
      <c r="W63" s="8">
        <v>7</v>
      </c>
      <c r="X63" s="8">
        <v>6</v>
      </c>
      <c r="Y63" s="9">
        <v>1.26</v>
      </c>
      <c r="Z63" s="9">
        <v>1529</v>
      </c>
      <c r="AA63" s="5"/>
      <c r="AB63" s="7">
        <v>7</v>
      </c>
      <c r="AC63" t="s" s="4">
        <v>437</v>
      </c>
    </row>
    <row r="64" ht="15" customHeight="1">
      <c r="A64" s="7">
        <v>62</v>
      </c>
      <c r="B64" t="s" s="4">
        <v>438</v>
      </c>
      <c r="C64" t="s" s="4">
        <v>431</v>
      </c>
      <c r="D64" t="s" s="4">
        <v>439</v>
      </c>
      <c r="E64" s="7">
        <v>1</v>
      </c>
      <c r="F64" t="s" s="4">
        <v>440</v>
      </c>
      <c r="G64" t="s" s="4">
        <v>433</v>
      </c>
      <c r="H64" s="7">
        <v>6</v>
      </c>
      <c r="I64" s="7">
        <v>5</v>
      </c>
      <c r="J64" s="7">
        <v>10</v>
      </c>
      <c r="K64" s="7">
        <v>7</v>
      </c>
      <c r="L64" s="7">
        <v>6</v>
      </c>
      <c r="M64" s="7">
        <v>6</v>
      </c>
      <c r="N64" s="7">
        <v>6</v>
      </c>
      <c r="O64" s="7">
        <v>7</v>
      </c>
      <c r="P64" s="7">
        <v>8</v>
      </c>
      <c r="Q64" s="7">
        <v>4</v>
      </c>
      <c r="R64" s="7">
        <v>6</v>
      </c>
      <c r="S64" s="7">
        <v>5</v>
      </c>
      <c r="T64" t="s" s="4">
        <v>263</v>
      </c>
      <c r="U64" t="s" s="4">
        <v>441</v>
      </c>
      <c r="V64" t="s" s="4">
        <v>442</v>
      </c>
      <c r="W64" s="8">
        <v>7</v>
      </c>
      <c r="X64" s="8">
        <v>5</v>
      </c>
      <c r="Y64" s="9">
        <v>1.26</v>
      </c>
      <c r="Z64" s="9">
        <v>1529</v>
      </c>
      <c r="AA64" s="5"/>
      <c r="AB64" s="7">
        <v>8</v>
      </c>
      <c r="AC64" t="s" s="4">
        <v>443</v>
      </c>
    </row>
    <row r="65" ht="15" customHeight="1">
      <c r="A65" s="7">
        <v>63</v>
      </c>
      <c r="B65" t="s" s="4">
        <v>444</v>
      </c>
      <c r="C65" t="s" s="4">
        <v>445</v>
      </c>
      <c r="D65" t="s" s="4">
        <v>220</v>
      </c>
      <c r="E65" s="7">
        <v>2</v>
      </c>
      <c r="F65" t="s" s="4">
        <v>384</v>
      </c>
      <c r="G65" t="s" s="4">
        <v>306</v>
      </c>
      <c r="H65" s="7">
        <v>8</v>
      </c>
      <c r="I65" s="7">
        <v>5</v>
      </c>
      <c r="J65" s="7">
        <v>9</v>
      </c>
      <c r="K65" s="7">
        <v>6</v>
      </c>
      <c r="L65" s="7">
        <v>7</v>
      </c>
      <c r="M65" s="7">
        <v>8</v>
      </c>
      <c r="N65" s="7">
        <v>7</v>
      </c>
      <c r="O65" s="7">
        <v>5</v>
      </c>
      <c r="P65" s="7">
        <v>9</v>
      </c>
      <c r="Q65" s="7">
        <v>7</v>
      </c>
      <c r="R65" s="7">
        <v>5</v>
      </c>
      <c r="S65" s="7">
        <v>3</v>
      </c>
      <c r="T65" t="s" s="4">
        <v>101</v>
      </c>
      <c r="U65" t="s" s="4">
        <v>446</v>
      </c>
      <c r="V65" t="s" s="4">
        <v>447</v>
      </c>
      <c r="W65" s="8">
        <v>10</v>
      </c>
      <c r="X65" s="8">
        <v>7</v>
      </c>
      <c r="Y65" s="9">
        <v>0.49</v>
      </c>
      <c r="Z65" s="9">
        <v>2974</v>
      </c>
      <c r="AA65" t="s" s="10">
        <v>364</v>
      </c>
      <c r="AB65" s="7">
        <v>3</v>
      </c>
      <c r="AC65" t="s" s="4">
        <v>448</v>
      </c>
    </row>
    <row r="66" ht="15" customHeight="1">
      <c r="A66" s="7">
        <v>64</v>
      </c>
      <c r="B66" t="s" s="4">
        <v>449</v>
      </c>
      <c r="C66" t="s" s="4">
        <v>445</v>
      </c>
      <c r="D66" t="s" s="4">
        <v>450</v>
      </c>
      <c r="E66" s="7">
        <v>1</v>
      </c>
      <c r="F66" t="s" s="4">
        <v>43</v>
      </c>
      <c r="G66" t="s" s="4">
        <v>240</v>
      </c>
      <c r="H66" s="7">
        <v>6</v>
      </c>
      <c r="I66" s="7">
        <v>8</v>
      </c>
      <c r="J66" s="7">
        <v>8</v>
      </c>
      <c r="K66" s="7">
        <v>6</v>
      </c>
      <c r="L66" s="7">
        <v>7</v>
      </c>
      <c r="M66" s="7">
        <v>7</v>
      </c>
      <c r="N66" s="7">
        <v>6</v>
      </c>
      <c r="O66" s="7">
        <v>4</v>
      </c>
      <c r="P66" s="7">
        <v>7</v>
      </c>
      <c r="Q66" s="7">
        <v>5</v>
      </c>
      <c r="R66" s="7">
        <v>6</v>
      </c>
      <c r="S66" s="7">
        <v>4</v>
      </c>
      <c r="T66" t="s" s="4">
        <v>451</v>
      </c>
      <c r="U66" t="s" s="4">
        <v>452</v>
      </c>
      <c r="V66" t="s" s="4">
        <v>453</v>
      </c>
      <c r="W66" s="8">
        <v>8</v>
      </c>
      <c r="X66" s="8">
        <v>7</v>
      </c>
      <c r="Y66" s="9">
        <v>0.49</v>
      </c>
      <c r="Z66" s="9">
        <v>2974</v>
      </c>
      <c r="AA66" t="s" s="10">
        <v>364</v>
      </c>
      <c r="AB66" s="7">
        <v>6</v>
      </c>
      <c r="AC66" t="s" s="4">
        <v>454</v>
      </c>
    </row>
    <row r="67" ht="15" customHeight="1">
      <c r="A67" s="7">
        <v>65</v>
      </c>
      <c r="B67" t="s" s="4">
        <v>455</v>
      </c>
      <c r="C67" t="s" s="4">
        <v>445</v>
      </c>
      <c r="D67" t="s" s="4">
        <v>204</v>
      </c>
      <c r="E67" s="7">
        <v>3</v>
      </c>
      <c r="F67" t="s" s="4">
        <v>119</v>
      </c>
      <c r="G67" t="s" s="4">
        <v>456</v>
      </c>
      <c r="H67" s="7">
        <v>6</v>
      </c>
      <c r="I67" s="7">
        <v>4</v>
      </c>
      <c r="J67" s="7">
        <v>7</v>
      </c>
      <c r="K67" s="7">
        <v>7</v>
      </c>
      <c r="L67" s="7">
        <v>4</v>
      </c>
      <c r="M67" s="7">
        <v>6</v>
      </c>
      <c r="N67" s="7">
        <v>8</v>
      </c>
      <c r="O67" s="7">
        <v>5</v>
      </c>
      <c r="P67" s="7">
        <v>7</v>
      </c>
      <c r="Q67" s="7">
        <v>7</v>
      </c>
      <c r="R67" s="7">
        <v>5</v>
      </c>
      <c r="S67" s="7">
        <v>3</v>
      </c>
      <c r="T67" t="s" s="4">
        <v>101</v>
      </c>
      <c r="U67" t="s" s="4">
        <v>204</v>
      </c>
      <c r="V67" t="s" s="4">
        <v>457</v>
      </c>
      <c r="W67" s="8">
        <v>9</v>
      </c>
      <c r="X67" s="8">
        <v>6</v>
      </c>
      <c r="Y67" s="9">
        <v>0.49</v>
      </c>
      <c r="Z67" s="9">
        <v>2974</v>
      </c>
      <c r="AA67" t="s" s="10">
        <v>364</v>
      </c>
      <c r="AB67" s="7">
        <v>3</v>
      </c>
      <c r="AC67" t="s" s="4">
        <v>458</v>
      </c>
    </row>
    <row r="68" ht="15" customHeight="1">
      <c r="A68" s="7">
        <v>66</v>
      </c>
      <c r="B68" t="s" s="4">
        <v>459</v>
      </c>
      <c r="C68" t="s" s="4">
        <v>460</v>
      </c>
      <c r="D68" t="s" s="4">
        <v>461</v>
      </c>
      <c r="E68" s="7">
        <v>1</v>
      </c>
      <c r="F68" t="s" s="4">
        <v>91</v>
      </c>
      <c r="G68" t="s" s="4">
        <v>462</v>
      </c>
      <c r="H68" s="7">
        <v>6</v>
      </c>
      <c r="I68" s="7">
        <v>8</v>
      </c>
      <c r="J68" s="7">
        <v>8</v>
      </c>
      <c r="K68" s="7">
        <v>10</v>
      </c>
      <c r="L68" s="7">
        <v>3</v>
      </c>
      <c r="M68" s="7">
        <v>5</v>
      </c>
      <c r="N68" s="7">
        <v>7</v>
      </c>
      <c r="O68" s="7">
        <v>8</v>
      </c>
      <c r="P68" s="7">
        <v>7</v>
      </c>
      <c r="Q68" s="7">
        <v>1</v>
      </c>
      <c r="R68" s="7">
        <v>5</v>
      </c>
      <c r="S68" s="7">
        <v>3</v>
      </c>
      <c r="T68" t="s" s="4">
        <v>70</v>
      </c>
      <c r="U68" t="s" s="4">
        <v>463</v>
      </c>
      <c r="V68" t="s" s="4">
        <v>464</v>
      </c>
      <c r="W68" s="8">
        <v>6</v>
      </c>
      <c r="X68" s="8">
        <v>5</v>
      </c>
      <c r="Y68" s="9">
        <v>1</v>
      </c>
      <c r="Z68" s="9">
        <v>3760</v>
      </c>
      <c r="AA68" s="5"/>
      <c r="AB68" s="7">
        <v>7</v>
      </c>
      <c r="AC68" t="s" s="4">
        <v>465</v>
      </c>
    </row>
    <row r="69" ht="15" customHeight="1">
      <c r="A69" s="7">
        <v>67</v>
      </c>
      <c r="B69" t="s" s="4">
        <v>466</v>
      </c>
      <c r="C69" t="s" s="4">
        <v>467</v>
      </c>
      <c r="D69" t="s" s="4">
        <v>468</v>
      </c>
      <c r="E69" s="7">
        <v>1</v>
      </c>
      <c r="F69" t="s" s="4">
        <v>469</v>
      </c>
      <c r="G69" t="s" s="4">
        <v>470</v>
      </c>
      <c r="H69" s="7">
        <v>5</v>
      </c>
      <c r="I69" s="7">
        <v>9</v>
      </c>
      <c r="J69" s="7">
        <v>8</v>
      </c>
      <c r="K69" s="7">
        <v>10</v>
      </c>
      <c r="L69" s="7">
        <v>6</v>
      </c>
      <c r="M69" s="7">
        <v>8</v>
      </c>
      <c r="N69" s="7">
        <v>6</v>
      </c>
      <c r="O69" s="7">
        <v>4</v>
      </c>
      <c r="P69" s="7">
        <v>7</v>
      </c>
      <c r="Q69" s="7">
        <v>5</v>
      </c>
      <c r="R69" s="7">
        <v>6</v>
      </c>
      <c r="S69" s="7">
        <v>4</v>
      </c>
      <c r="T69" t="s" s="4">
        <v>263</v>
      </c>
      <c r="U69" t="s" s="4">
        <v>471</v>
      </c>
      <c r="V69" t="s" s="4">
        <v>472</v>
      </c>
      <c r="W69" s="8">
        <v>8</v>
      </c>
      <c r="X69" s="8">
        <v>7</v>
      </c>
      <c r="Y69" s="9">
        <v>0.52</v>
      </c>
      <c r="Z69" s="9">
        <v>2958</v>
      </c>
      <c r="AA69" s="5"/>
      <c r="AB69" s="7">
        <v>6</v>
      </c>
      <c r="AC69" t="s" s="4">
        <v>473</v>
      </c>
    </row>
    <row r="70" ht="15" customHeight="1">
      <c r="A70" s="7">
        <v>68</v>
      </c>
      <c r="B70" t="s" s="4">
        <v>474</v>
      </c>
      <c r="C70" t="s" s="4">
        <v>467</v>
      </c>
      <c r="D70" t="s" s="4">
        <v>475</v>
      </c>
      <c r="E70" s="7">
        <v>1</v>
      </c>
      <c r="F70" t="s" s="4">
        <v>338</v>
      </c>
      <c r="G70" t="s" s="4">
        <v>209</v>
      </c>
      <c r="H70" s="7">
        <v>5</v>
      </c>
      <c r="I70" s="7">
        <v>9</v>
      </c>
      <c r="J70" s="7">
        <v>3</v>
      </c>
      <c r="K70" s="7">
        <v>9</v>
      </c>
      <c r="L70" s="7">
        <v>4</v>
      </c>
      <c r="M70" s="7">
        <v>8</v>
      </c>
      <c r="N70" s="7">
        <v>6</v>
      </c>
      <c r="O70" s="7">
        <v>6</v>
      </c>
      <c r="P70" s="7">
        <v>6</v>
      </c>
      <c r="Q70" s="7">
        <v>5</v>
      </c>
      <c r="R70" s="7">
        <v>7</v>
      </c>
      <c r="S70" s="7">
        <v>5</v>
      </c>
      <c r="T70" t="s" s="4">
        <v>45</v>
      </c>
      <c r="U70" t="s" s="4">
        <v>71</v>
      </c>
      <c r="V70" t="s" s="4">
        <v>476</v>
      </c>
      <c r="W70" s="8">
        <v>7</v>
      </c>
      <c r="X70" s="8">
        <v>5</v>
      </c>
      <c r="Y70" s="9">
        <v>0.52</v>
      </c>
      <c r="Z70" s="9">
        <v>2958</v>
      </c>
      <c r="AA70" s="5"/>
      <c r="AB70" s="7">
        <v>5</v>
      </c>
      <c r="AC70" t="s" s="4">
        <v>477</v>
      </c>
    </row>
    <row r="71" ht="15" customHeight="1">
      <c r="A71" s="7">
        <v>69</v>
      </c>
      <c r="B71" t="s" s="4">
        <v>478</v>
      </c>
      <c r="C71" t="s" s="4">
        <v>467</v>
      </c>
      <c r="D71" t="s" s="4">
        <v>42</v>
      </c>
      <c r="E71" s="7">
        <v>1</v>
      </c>
      <c r="F71" t="s" s="4">
        <v>91</v>
      </c>
      <c r="G71" t="s" s="4">
        <v>479</v>
      </c>
      <c r="H71" s="7">
        <v>6</v>
      </c>
      <c r="I71" s="7">
        <v>8</v>
      </c>
      <c r="J71" s="7">
        <v>8</v>
      </c>
      <c r="K71" s="7">
        <v>9</v>
      </c>
      <c r="L71" s="7">
        <v>5</v>
      </c>
      <c r="M71" s="7">
        <v>8</v>
      </c>
      <c r="N71" s="7">
        <v>7</v>
      </c>
      <c r="O71" s="7">
        <v>7</v>
      </c>
      <c r="P71" s="7">
        <v>8</v>
      </c>
      <c r="Q71" s="7">
        <v>5</v>
      </c>
      <c r="R71" s="7">
        <v>6</v>
      </c>
      <c r="S71" s="7">
        <v>4</v>
      </c>
      <c r="T71" t="s" s="4">
        <v>263</v>
      </c>
      <c r="U71" t="s" s="4">
        <v>480</v>
      </c>
      <c r="V71" t="s" s="4">
        <v>481</v>
      </c>
      <c r="W71" s="8">
        <v>8</v>
      </c>
      <c r="X71" s="8">
        <v>7</v>
      </c>
      <c r="Y71" s="9">
        <v>0.52</v>
      </c>
      <c r="Z71" s="9">
        <v>2958</v>
      </c>
      <c r="AA71" s="5"/>
      <c r="AB71" s="7">
        <v>6</v>
      </c>
      <c r="AC71" t="s" s="4">
        <v>482</v>
      </c>
    </row>
    <row r="72" ht="15" customHeight="1">
      <c r="A72" s="7">
        <v>70</v>
      </c>
      <c r="B72" t="s" s="4">
        <v>483</v>
      </c>
      <c r="C72" t="s" s="4">
        <v>467</v>
      </c>
      <c r="D72" t="s" s="4">
        <v>331</v>
      </c>
      <c r="E72" s="7">
        <v>1</v>
      </c>
      <c r="F72" t="s" s="4">
        <v>293</v>
      </c>
      <c r="G72" t="s" s="4">
        <v>484</v>
      </c>
      <c r="H72" s="7">
        <v>8</v>
      </c>
      <c r="I72" s="7">
        <v>7</v>
      </c>
      <c r="J72" s="7">
        <v>9</v>
      </c>
      <c r="K72" s="7">
        <v>9</v>
      </c>
      <c r="L72" s="7">
        <v>5</v>
      </c>
      <c r="M72" s="7">
        <v>3</v>
      </c>
      <c r="N72" s="7">
        <v>4</v>
      </c>
      <c r="O72" s="7">
        <v>7</v>
      </c>
      <c r="P72" s="7">
        <v>7</v>
      </c>
      <c r="Q72" s="7">
        <v>5</v>
      </c>
      <c r="R72" s="7">
        <v>8</v>
      </c>
      <c r="S72" s="7">
        <v>5</v>
      </c>
      <c r="T72" t="s" s="4">
        <v>182</v>
      </c>
      <c r="U72" t="s" s="4">
        <v>242</v>
      </c>
      <c r="V72" t="s" s="4">
        <v>485</v>
      </c>
      <c r="W72" s="8">
        <v>9</v>
      </c>
      <c r="X72" s="8">
        <v>8</v>
      </c>
      <c r="Y72" s="9">
        <v>0.52</v>
      </c>
      <c r="Z72" s="9">
        <v>2958</v>
      </c>
      <c r="AA72" s="5"/>
      <c r="AB72" s="7">
        <v>4</v>
      </c>
      <c r="AC72" t="s" s="4">
        <v>486</v>
      </c>
    </row>
    <row r="73" ht="15" customHeight="1">
      <c r="A73" s="7">
        <v>71</v>
      </c>
      <c r="B73" t="s" s="4">
        <v>487</v>
      </c>
      <c r="C73" t="s" s="4">
        <v>467</v>
      </c>
      <c r="D73" t="s" s="4">
        <v>488</v>
      </c>
      <c r="E73" s="7">
        <v>2</v>
      </c>
      <c r="F73" t="s" s="4">
        <v>281</v>
      </c>
      <c r="G73" t="s" s="4">
        <v>489</v>
      </c>
      <c r="H73" s="7">
        <v>9</v>
      </c>
      <c r="I73" s="7">
        <v>5</v>
      </c>
      <c r="J73" s="7">
        <v>9</v>
      </c>
      <c r="K73" s="7">
        <v>9</v>
      </c>
      <c r="L73" s="7">
        <v>5</v>
      </c>
      <c r="M73" s="7">
        <v>6</v>
      </c>
      <c r="N73" s="7">
        <v>7</v>
      </c>
      <c r="O73" s="7">
        <v>5</v>
      </c>
      <c r="P73" s="7">
        <v>9</v>
      </c>
      <c r="Q73" s="7">
        <v>6</v>
      </c>
      <c r="R73" s="7">
        <v>5</v>
      </c>
      <c r="S73" s="7">
        <v>7</v>
      </c>
      <c r="T73" t="s" s="4">
        <v>182</v>
      </c>
      <c r="U73" t="s" s="4">
        <v>228</v>
      </c>
      <c r="V73" t="s" s="4">
        <v>490</v>
      </c>
      <c r="W73" s="8">
        <v>8</v>
      </c>
      <c r="X73" s="8">
        <v>7</v>
      </c>
      <c r="Y73" s="9">
        <v>0.52</v>
      </c>
      <c r="Z73" s="9">
        <v>2958</v>
      </c>
      <c r="AA73" s="5"/>
      <c r="AB73" s="7">
        <v>6</v>
      </c>
      <c r="AC73" t="s" s="4">
        <v>491</v>
      </c>
    </row>
    <row r="74" ht="15" customHeight="1">
      <c r="A74" s="7">
        <v>72</v>
      </c>
      <c r="B74" t="s" s="4">
        <v>492</v>
      </c>
      <c r="C74" t="s" s="4">
        <v>493</v>
      </c>
      <c r="D74" t="s" s="4">
        <v>494</v>
      </c>
      <c r="E74" s="7">
        <v>1</v>
      </c>
      <c r="F74" t="s" s="4">
        <v>274</v>
      </c>
      <c r="G74" t="s" s="4">
        <v>495</v>
      </c>
      <c r="H74" s="7">
        <v>3</v>
      </c>
      <c r="I74" s="7">
        <v>9</v>
      </c>
      <c r="J74" s="7">
        <v>5</v>
      </c>
      <c r="K74" s="7">
        <v>9</v>
      </c>
      <c r="L74" s="7">
        <v>3</v>
      </c>
      <c r="M74" s="7">
        <v>5</v>
      </c>
      <c r="N74" s="7">
        <v>4</v>
      </c>
      <c r="O74" s="7">
        <v>4</v>
      </c>
      <c r="P74" s="7">
        <v>5</v>
      </c>
      <c r="Q74" s="7">
        <v>8</v>
      </c>
      <c r="R74" s="7">
        <v>4</v>
      </c>
      <c r="S74" s="7">
        <v>3</v>
      </c>
      <c r="T74" t="s" s="4">
        <v>101</v>
      </c>
      <c r="U74" t="s" s="4">
        <v>102</v>
      </c>
      <c r="V74" t="s" s="4">
        <v>496</v>
      </c>
      <c r="W74" s="8">
        <v>9</v>
      </c>
      <c r="X74" s="8">
        <v>7</v>
      </c>
      <c r="Y74" s="9">
        <v>1.4</v>
      </c>
      <c r="Z74" s="9">
        <v>4085</v>
      </c>
      <c r="AA74" t="s" s="10">
        <v>497</v>
      </c>
      <c r="AB74" s="7">
        <v>2</v>
      </c>
      <c r="AC74" t="s" s="4">
        <v>498</v>
      </c>
    </row>
    <row r="75" ht="15" customHeight="1">
      <c r="A75" s="7">
        <v>73</v>
      </c>
      <c r="B75" t="s" s="4">
        <v>499</v>
      </c>
      <c r="C75" t="s" s="4">
        <v>493</v>
      </c>
      <c r="D75" t="s" s="4">
        <v>500</v>
      </c>
      <c r="E75" s="7">
        <v>2</v>
      </c>
      <c r="F75" t="s" s="4">
        <v>501</v>
      </c>
      <c r="G75" t="s" s="4">
        <v>502</v>
      </c>
      <c r="H75" s="7">
        <v>10</v>
      </c>
      <c r="I75" s="7">
        <v>7</v>
      </c>
      <c r="J75" s="7">
        <v>8</v>
      </c>
      <c r="K75" s="7">
        <v>8</v>
      </c>
      <c r="L75" s="7">
        <v>5</v>
      </c>
      <c r="M75" s="7">
        <v>4</v>
      </c>
      <c r="N75" s="7">
        <v>6</v>
      </c>
      <c r="O75" s="7">
        <v>6</v>
      </c>
      <c r="P75" s="7">
        <v>7</v>
      </c>
      <c r="Q75" s="7">
        <v>6</v>
      </c>
      <c r="R75" s="7">
        <v>3</v>
      </c>
      <c r="S75" s="7">
        <v>4</v>
      </c>
      <c r="T75" t="s" s="4">
        <v>307</v>
      </c>
      <c r="U75" t="s" s="4">
        <v>234</v>
      </c>
      <c r="V75" t="s" s="4">
        <v>503</v>
      </c>
      <c r="W75" s="8">
        <v>7</v>
      </c>
      <c r="X75" s="8">
        <v>9</v>
      </c>
      <c r="Y75" s="9">
        <v>1.4</v>
      </c>
      <c r="Z75" s="9">
        <v>4085</v>
      </c>
      <c r="AA75" t="s" s="10">
        <v>497</v>
      </c>
      <c r="AB75" s="7">
        <v>5</v>
      </c>
      <c r="AC75" t="s" s="4">
        <v>504</v>
      </c>
    </row>
    <row r="76" ht="15" customHeight="1">
      <c r="A76" s="7">
        <v>74</v>
      </c>
      <c r="B76" t="s" s="4">
        <v>505</v>
      </c>
      <c r="C76" t="s" s="4">
        <v>493</v>
      </c>
      <c r="D76" t="s" s="4">
        <v>506</v>
      </c>
      <c r="E76" s="7">
        <v>3</v>
      </c>
      <c r="F76" t="s" s="4">
        <v>507</v>
      </c>
      <c r="G76" t="s" s="4">
        <v>508</v>
      </c>
      <c r="H76" s="7">
        <v>7</v>
      </c>
      <c r="I76" s="7">
        <v>6</v>
      </c>
      <c r="J76" s="7">
        <v>6</v>
      </c>
      <c r="K76" s="7">
        <v>9</v>
      </c>
      <c r="L76" s="7">
        <v>5</v>
      </c>
      <c r="M76" s="7">
        <v>5</v>
      </c>
      <c r="N76" s="7">
        <v>10</v>
      </c>
      <c r="O76" s="7">
        <v>9</v>
      </c>
      <c r="P76" s="7">
        <v>7</v>
      </c>
      <c r="Q76" s="7">
        <v>7</v>
      </c>
      <c r="R76" s="7">
        <v>3</v>
      </c>
      <c r="S76" s="7">
        <v>4</v>
      </c>
      <c r="T76" t="s" s="4">
        <v>70</v>
      </c>
      <c r="U76" t="s" s="4">
        <v>102</v>
      </c>
      <c r="V76" t="s" s="4">
        <v>509</v>
      </c>
      <c r="W76" s="8">
        <v>7</v>
      </c>
      <c r="X76" s="8">
        <v>9</v>
      </c>
      <c r="Y76" s="9">
        <v>1.4</v>
      </c>
      <c r="Z76" s="9">
        <v>4085</v>
      </c>
      <c r="AA76" t="s" s="10">
        <v>497</v>
      </c>
      <c r="AB76" s="7">
        <v>5</v>
      </c>
      <c r="AC76" t="s" s="4">
        <v>510</v>
      </c>
    </row>
    <row r="77" ht="15" customHeight="1">
      <c r="A77" s="7">
        <v>75</v>
      </c>
      <c r="B77" t="s" s="4">
        <v>511</v>
      </c>
      <c r="C77" t="s" s="4">
        <v>493</v>
      </c>
      <c r="D77" t="s" s="4">
        <v>512</v>
      </c>
      <c r="E77" s="7">
        <v>2</v>
      </c>
      <c r="F77" t="s" s="4">
        <v>513</v>
      </c>
      <c r="G77" t="s" s="4">
        <v>514</v>
      </c>
      <c r="H77" s="7">
        <v>9</v>
      </c>
      <c r="I77" s="7">
        <v>6</v>
      </c>
      <c r="J77" s="7">
        <v>8</v>
      </c>
      <c r="K77" s="7">
        <v>9</v>
      </c>
      <c r="L77" s="7">
        <v>5</v>
      </c>
      <c r="M77" s="7">
        <v>5</v>
      </c>
      <c r="N77" s="7">
        <v>6</v>
      </c>
      <c r="O77" s="7">
        <v>7</v>
      </c>
      <c r="P77" s="7">
        <v>8</v>
      </c>
      <c r="Q77" s="7">
        <v>7</v>
      </c>
      <c r="R77" s="7">
        <v>3</v>
      </c>
      <c r="S77" s="7">
        <v>4</v>
      </c>
      <c r="T77" t="s" s="4">
        <v>70</v>
      </c>
      <c r="U77" t="s" s="4">
        <v>234</v>
      </c>
      <c r="V77" t="s" s="4">
        <v>515</v>
      </c>
      <c r="W77" s="8">
        <v>8</v>
      </c>
      <c r="X77" s="8">
        <v>9</v>
      </c>
      <c r="Y77" s="9">
        <v>1.4</v>
      </c>
      <c r="Z77" s="9">
        <v>4085</v>
      </c>
      <c r="AA77" t="s" s="10">
        <v>497</v>
      </c>
      <c r="AB77" s="7">
        <v>5</v>
      </c>
      <c r="AC77" t="s" s="4">
        <v>516</v>
      </c>
    </row>
    <row r="78" ht="15" customHeight="1">
      <c r="A78" s="7">
        <v>76</v>
      </c>
      <c r="B78" t="s" s="4">
        <v>517</v>
      </c>
      <c r="C78" t="s" s="4">
        <v>493</v>
      </c>
      <c r="D78" t="s" s="4">
        <v>518</v>
      </c>
      <c r="E78" s="7">
        <v>4</v>
      </c>
      <c r="F78" t="s" s="4">
        <v>519</v>
      </c>
      <c r="G78" t="s" s="4">
        <v>520</v>
      </c>
      <c r="H78" s="7">
        <v>9</v>
      </c>
      <c r="I78" s="7">
        <v>4</v>
      </c>
      <c r="J78" s="7">
        <v>8</v>
      </c>
      <c r="K78" s="7">
        <v>8</v>
      </c>
      <c r="L78" s="7">
        <v>3</v>
      </c>
      <c r="M78" s="7">
        <v>4</v>
      </c>
      <c r="N78" s="7">
        <v>8</v>
      </c>
      <c r="O78" s="7">
        <v>8</v>
      </c>
      <c r="P78" s="7">
        <v>7</v>
      </c>
      <c r="Q78" s="7">
        <v>6</v>
      </c>
      <c r="R78" s="7">
        <v>3</v>
      </c>
      <c r="S78" s="7">
        <v>4</v>
      </c>
      <c r="T78" t="s" s="4">
        <v>307</v>
      </c>
      <c r="U78" t="s" s="4">
        <v>521</v>
      </c>
      <c r="V78" t="s" s="4">
        <v>522</v>
      </c>
      <c r="W78" s="8">
        <v>7</v>
      </c>
      <c r="X78" s="8">
        <v>9</v>
      </c>
      <c r="Y78" s="9">
        <v>1.4</v>
      </c>
      <c r="Z78" s="9">
        <v>4085</v>
      </c>
      <c r="AA78" t="s" s="10">
        <v>497</v>
      </c>
      <c r="AB78" s="7">
        <v>5</v>
      </c>
      <c r="AC78" t="s" s="4">
        <v>523</v>
      </c>
    </row>
    <row r="79" ht="15" customHeight="1">
      <c r="A79" s="7">
        <v>77</v>
      </c>
      <c r="B79" t="s" s="4">
        <v>524</v>
      </c>
      <c r="C79" t="s" s="4">
        <v>525</v>
      </c>
      <c r="D79" t="s" s="4">
        <v>526</v>
      </c>
      <c r="E79" s="7">
        <v>5</v>
      </c>
      <c r="F79" t="s" s="4">
        <v>527</v>
      </c>
      <c r="G79" t="s" s="4">
        <v>528</v>
      </c>
      <c r="H79" s="7">
        <v>8</v>
      </c>
      <c r="I79" s="7">
        <v>1</v>
      </c>
      <c r="J79" s="7">
        <v>7</v>
      </c>
      <c r="K79" s="7">
        <v>4</v>
      </c>
      <c r="L79" s="7">
        <v>6</v>
      </c>
      <c r="M79" s="7">
        <v>10</v>
      </c>
      <c r="N79" s="7">
        <v>9</v>
      </c>
      <c r="O79" s="7">
        <v>7</v>
      </c>
      <c r="P79" s="7">
        <v>7</v>
      </c>
      <c r="Q79" s="7">
        <v>2</v>
      </c>
      <c r="R79" s="7">
        <v>9</v>
      </c>
      <c r="S79" s="7">
        <v>9</v>
      </c>
      <c r="T79" t="s" s="4">
        <v>135</v>
      </c>
      <c r="U79" t="s" s="4">
        <v>529</v>
      </c>
      <c r="V79" t="s" s="4">
        <v>530</v>
      </c>
      <c r="W79" s="8">
        <v>3</v>
      </c>
      <c r="X79" s="8">
        <v>3</v>
      </c>
      <c r="Y79" s="9">
        <v>0.48</v>
      </c>
      <c r="Z79" s="9">
        <v>1814</v>
      </c>
      <c r="AA79" s="5"/>
      <c r="AB79" s="7">
        <v>6</v>
      </c>
      <c r="AC79" t="s" s="4">
        <v>531</v>
      </c>
    </row>
    <row r="80" ht="15" customHeight="1">
      <c r="A80" s="7">
        <v>78</v>
      </c>
      <c r="B80" t="s" s="4">
        <v>532</v>
      </c>
      <c r="C80" t="s" s="4">
        <v>525</v>
      </c>
      <c r="D80" t="s" s="4">
        <v>533</v>
      </c>
      <c r="E80" s="7">
        <v>2</v>
      </c>
      <c r="F80" t="s" s="4">
        <v>133</v>
      </c>
      <c r="G80" t="s" s="4">
        <v>534</v>
      </c>
      <c r="H80" s="7">
        <v>5</v>
      </c>
      <c r="I80" s="7">
        <v>4</v>
      </c>
      <c r="J80" s="7">
        <v>10</v>
      </c>
      <c r="K80" s="7">
        <v>5</v>
      </c>
      <c r="L80" s="7">
        <v>3</v>
      </c>
      <c r="M80" s="7">
        <v>10</v>
      </c>
      <c r="N80" s="7">
        <v>9</v>
      </c>
      <c r="O80" s="7">
        <v>7</v>
      </c>
      <c r="P80" s="7">
        <v>6</v>
      </c>
      <c r="Q80" s="7">
        <v>6</v>
      </c>
      <c r="R80" s="7">
        <v>2</v>
      </c>
      <c r="S80" s="7">
        <v>9</v>
      </c>
      <c r="T80" t="s" s="4">
        <v>78</v>
      </c>
      <c r="U80" t="s" s="4">
        <v>535</v>
      </c>
      <c r="V80" t="s" s="4">
        <v>536</v>
      </c>
      <c r="W80" s="8">
        <v>2</v>
      </c>
      <c r="X80" s="8">
        <v>9</v>
      </c>
      <c r="Y80" s="9">
        <v>0.48</v>
      </c>
      <c r="Z80" s="9">
        <v>1814</v>
      </c>
      <c r="AA80" s="5"/>
      <c r="AB80" s="7">
        <v>5</v>
      </c>
      <c r="AC80" t="s" s="4">
        <v>537</v>
      </c>
    </row>
    <row r="81" ht="15" customHeight="1">
      <c r="A81" s="7">
        <v>79</v>
      </c>
      <c r="B81" t="s" s="4">
        <v>538</v>
      </c>
      <c r="C81" t="s" s="4">
        <v>539</v>
      </c>
      <c r="D81" t="s" s="4">
        <v>540</v>
      </c>
      <c r="E81" s="7">
        <v>3</v>
      </c>
      <c r="F81" t="s" s="4">
        <v>541</v>
      </c>
      <c r="G81" t="s" s="4">
        <v>542</v>
      </c>
      <c r="H81" s="7">
        <v>9</v>
      </c>
      <c r="I81" s="7">
        <v>3</v>
      </c>
      <c r="J81" s="7">
        <v>9</v>
      </c>
      <c r="K81" s="7">
        <v>6</v>
      </c>
      <c r="L81" s="7">
        <v>9</v>
      </c>
      <c r="M81" s="7">
        <v>5</v>
      </c>
      <c r="N81" s="7">
        <v>6</v>
      </c>
      <c r="O81" s="7">
        <v>5</v>
      </c>
      <c r="P81" s="7">
        <v>8</v>
      </c>
      <c r="Q81" s="7">
        <v>6</v>
      </c>
      <c r="R81" s="7">
        <v>7</v>
      </c>
      <c r="S81" s="7">
        <v>6</v>
      </c>
      <c r="T81" t="s" s="4">
        <v>227</v>
      </c>
      <c r="U81" t="s" s="4">
        <v>543</v>
      </c>
      <c r="V81" t="s" s="4">
        <v>544</v>
      </c>
      <c r="W81" s="8">
        <v>8</v>
      </c>
      <c r="X81" s="8">
        <v>6</v>
      </c>
      <c r="Y81" s="9">
        <v>0.78</v>
      </c>
      <c r="Z81" s="9">
        <v>2074</v>
      </c>
      <c r="AA81" s="5"/>
      <c r="AB81" s="7">
        <v>7</v>
      </c>
      <c r="AC81" t="s" s="4">
        <v>545</v>
      </c>
    </row>
    <row r="82" ht="15" customHeight="1">
      <c r="A82" s="7">
        <v>80</v>
      </c>
      <c r="B82" t="s" s="4">
        <v>546</v>
      </c>
      <c r="C82" t="s" s="4">
        <v>539</v>
      </c>
      <c r="D82" t="s" s="4">
        <v>547</v>
      </c>
      <c r="E82" s="7">
        <v>2</v>
      </c>
      <c r="F82" t="s" s="4">
        <v>197</v>
      </c>
      <c r="G82" t="s" s="4">
        <v>548</v>
      </c>
      <c r="H82" s="7">
        <v>4</v>
      </c>
      <c r="I82" s="7">
        <v>4</v>
      </c>
      <c r="J82" s="7">
        <v>9</v>
      </c>
      <c r="K82" s="7">
        <v>6</v>
      </c>
      <c r="L82" s="7">
        <v>7</v>
      </c>
      <c r="M82" s="7">
        <v>8</v>
      </c>
      <c r="N82" s="7">
        <v>5</v>
      </c>
      <c r="O82" s="7">
        <v>7</v>
      </c>
      <c r="P82" s="7">
        <v>8</v>
      </c>
      <c r="Q82" s="7">
        <v>5</v>
      </c>
      <c r="R82" s="7">
        <v>6</v>
      </c>
      <c r="S82" s="7">
        <v>5</v>
      </c>
      <c r="T82" t="s" s="4">
        <v>45</v>
      </c>
      <c r="U82" t="s" s="4">
        <v>63</v>
      </c>
      <c r="V82" t="s" s="4">
        <v>549</v>
      </c>
      <c r="W82" s="8">
        <v>7</v>
      </c>
      <c r="X82" s="8">
        <v>6</v>
      </c>
      <c r="Y82" s="9">
        <v>0.78</v>
      </c>
      <c r="Z82" s="9">
        <v>2074</v>
      </c>
      <c r="AA82" s="5"/>
      <c r="AB82" s="7">
        <v>7</v>
      </c>
      <c r="AC82" t="s" s="4">
        <v>550</v>
      </c>
    </row>
    <row r="83" ht="15" customHeight="1">
      <c r="A83" s="7">
        <v>81</v>
      </c>
      <c r="B83" t="s" s="4">
        <v>551</v>
      </c>
      <c r="C83" t="s" s="4">
        <v>539</v>
      </c>
      <c r="D83" t="s" s="4">
        <v>552</v>
      </c>
      <c r="E83" s="7">
        <v>1</v>
      </c>
      <c r="F83" t="s" s="4">
        <v>338</v>
      </c>
      <c r="G83" t="s" s="4">
        <v>553</v>
      </c>
      <c r="H83" s="7">
        <v>5</v>
      </c>
      <c r="I83" s="7">
        <v>8</v>
      </c>
      <c r="J83" s="7">
        <v>7</v>
      </c>
      <c r="K83" s="7">
        <v>6</v>
      </c>
      <c r="L83" s="7">
        <v>6</v>
      </c>
      <c r="M83" s="7">
        <v>8</v>
      </c>
      <c r="N83" s="7">
        <v>7</v>
      </c>
      <c r="O83" s="7">
        <v>7</v>
      </c>
      <c r="P83" s="7">
        <v>7</v>
      </c>
      <c r="Q83" s="7">
        <v>4</v>
      </c>
      <c r="R83" s="7">
        <v>7</v>
      </c>
      <c r="S83" s="7">
        <v>5</v>
      </c>
      <c r="T83" t="s" s="4">
        <v>451</v>
      </c>
      <c r="U83" t="s" s="4">
        <v>554</v>
      </c>
      <c r="V83" t="s" s="4">
        <v>555</v>
      </c>
      <c r="W83" s="8">
        <v>7</v>
      </c>
      <c r="X83" s="8">
        <v>6</v>
      </c>
      <c r="Y83" s="9">
        <v>0.78</v>
      </c>
      <c r="Z83" s="9">
        <v>2074</v>
      </c>
      <c r="AA83" s="5"/>
      <c r="AB83" s="7">
        <v>7</v>
      </c>
      <c r="AC83" t="s" s="4">
        <v>556</v>
      </c>
    </row>
    <row r="84" ht="15" customHeight="1">
      <c r="A84" s="7">
        <v>82</v>
      </c>
      <c r="B84" t="s" s="4">
        <v>557</v>
      </c>
      <c r="C84" t="s" s="4">
        <v>539</v>
      </c>
      <c r="D84" t="s" s="4">
        <v>558</v>
      </c>
      <c r="E84" s="7">
        <v>2</v>
      </c>
      <c r="F84" t="s" s="4">
        <v>559</v>
      </c>
      <c r="G84" t="s" s="4">
        <v>560</v>
      </c>
      <c r="H84" s="7">
        <v>7</v>
      </c>
      <c r="I84" s="7">
        <v>6</v>
      </c>
      <c r="J84" s="7">
        <v>8</v>
      </c>
      <c r="K84" s="7">
        <v>6</v>
      </c>
      <c r="L84" s="7">
        <v>4</v>
      </c>
      <c r="M84" s="7">
        <v>7</v>
      </c>
      <c r="N84" s="7">
        <v>7</v>
      </c>
      <c r="O84" s="7">
        <v>6</v>
      </c>
      <c r="P84" s="7">
        <v>7</v>
      </c>
      <c r="Q84" s="7">
        <v>5</v>
      </c>
      <c r="R84" s="7">
        <v>6</v>
      </c>
      <c r="S84" s="7">
        <v>4</v>
      </c>
      <c r="T84" t="s" s="4">
        <v>101</v>
      </c>
      <c r="U84" t="s" s="4">
        <v>79</v>
      </c>
      <c r="V84" t="s" s="4">
        <v>561</v>
      </c>
      <c r="W84" s="8">
        <v>8</v>
      </c>
      <c r="X84" s="8">
        <v>6</v>
      </c>
      <c r="Y84" s="9">
        <v>0.78</v>
      </c>
      <c r="Z84" s="9">
        <v>2074</v>
      </c>
      <c r="AA84" s="5"/>
      <c r="AB84" s="7">
        <v>4</v>
      </c>
      <c r="AC84" t="s" s="4">
        <v>562</v>
      </c>
    </row>
    <row r="85" ht="15" customHeight="1">
      <c r="A85" s="7">
        <v>83</v>
      </c>
      <c r="B85" t="s" s="4">
        <v>563</v>
      </c>
      <c r="C85" t="s" s="4">
        <v>564</v>
      </c>
      <c r="D85" t="s" s="4">
        <v>565</v>
      </c>
      <c r="E85" s="7">
        <v>2</v>
      </c>
      <c r="F85" t="s" s="4">
        <v>559</v>
      </c>
      <c r="G85" t="s" s="4">
        <v>566</v>
      </c>
      <c r="H85" s="7">
        <v>7</v>
      </c>
      <c r="I85" s="7">
        <v>8</v>
      </c>
      <c r="J85" s="7">
        <v>8</v>
      </c>
      <c r="K85" s="7">
        <v>9</v>
      </c>
      <c r="L85" s="7">
        <v>6</v>
      </c>
      <c r="M85" s="7">
        <v>7</v>
      </c>
      <c r="N85" s="7">
        <v>6</v>
      </c>
      <c r="O85" s="7">
        <v>3</v>
      </c>
      <c r="P85" s="7">
        <v>7</v>
      </c>
      <c r="Q85" s="7">
        <v>3</v>
      </c>
      <c r="R85" s="7">
        <v>7</v>
      </c>
      <c r="S85" s="7">
        <v>8</v>
      </c>
      <c r="T85" t="s" s="4">
        <v>263</v>
      </c>
      <c r="U85" t="s" s="4">
        <v>63</v>
      </c>
      <c r="V85" t="s" s="4">
        <v>567</v>
      </c>
      <c r="W85" s="8">
        <v>4</v>
      </c>
      <c r="X85" s="8">
        <v>6</v>
      </c>
      <c r="Y85" s="9">
        <v>0.75</v>
      </c>
      <c r="Z85" s="9">
        <v>1753</v>
      </c>
      <c r="AA85" s="5"/>
      <c r="AB85" s="7">
        <v>5</v>
      </c>
      <c r="AC85" t="s" s="4">
        <v>568</v>
      </c>
    </row>
    <row r="86" ht="15" customHeight="1">
      <c r="A86" s="7">
        <v>84</v>
      </c>
      <c r="B86" t="s" s="4">
        <v>569</v>
      </c>
      <c r="C86" t="s" s="4">
        <v>570</v>
      </c>
      <c r="D86" t="s" s="4">
        <v>571</v>
      </c>
      <c r="E86" s="7">
        <v>2</v>
      </c>
      <c r="F86" t="s" s="4">
        <v>281</v>
      </c>
      <c r="G86" t="s" s="4">
        <v>572</v>
      </c>
      <c r="H86" s="7">
        <v>6</v>
      </c>
      <c r="I86" s="7">
        <v>6</v>
      </c>
      <c r="J86" s="7">
        <v>8</v>
      </c>
      <c r="K86" s="7">
        <v>5</v>
      </c>
      <c r="L86" s="7">
        <v>5</v>
      </c>
      <c r="M86" s="7">
        <v>7</v>
      </c>
      <c r="N86" s="7">
        <v>7</v>
      </c>
      <c r="O86" s="7">
        <v>6</v>
      </c>
      <c r="P86" s="7">
        <v>8</v>
      </c>
      <c r="Q86" s="7">
        <v>2</v>
      </c>
      <c r="R86" s="7">
        <v>7</v>
      </c>
      <c r="S86" s="7">
        <v>5</v>
      </c>
      <c r="T86" t="s" s="4">
        <v>45</v>
      </c>
      <c r="U86" t="s" s="4">
        <v>46</v>
      </c>
      <c r="V86" t="s" s="4">
        <v>573</v>
      </c>
      <c r="W86" s="8">
        <v>6</v>
      </c>
      <c r="X86" s="8">
        <v>5</v>
      </c>
      <c r="Y86" s="9">
        <v>1.32</v>
      </c>
      <c r="Z86" s="9">
        <v>1812</v>
      </c>
      <c r="AA86" s="5"/>
      <c r="AB86" s="7">
        <v>8</v>
      </c>
      <c r="AC86" t="s" s="4">
        <v>574</v>
      </c>
    </row>
    <row r="87" ht="15" customHeight="1">
      <c r="A87" s="7">
        <v>85</v>
      </c>
      <c r="B87" t="s" s="4">
        <v>575</v>
      </c>
      <c r="C87" t="s" s="4">
        <v>576</v>
      </c>
      <c r="D87" t="s" s="4">
        <v>577</v>
      </c>
      <c r="E87" s="7">
        <v>1</v>
      </c>
      <c r="F87" t="s" s="4">
        <v>274</v>
      </c>
      <c r="G87" t="s" s="4">
        <v>578</v>
      </c>
      <c r="H87" s="7">
        <v>4</v>
      </c>
      <c r="I87" s="7">
        <v>9</v>
      </c>
      <c r="J87" s="7">
        <v>6</v>
      </c>
      <c r="K87" s="7">
        <v>10</v>
      </c>
      <c r="L87" s="7">
        <v>3</v>
      </c>
      <c r="M87" s="7">
        <v>8</v>
      </c>
      <c r="N87" s="7">
        <v>6</v>
      </c>
      <c r="O87" s="7">
        <v>8</v>
      </c>
      <c r="P87" s="7">
        <v>6</v>
      </c>
      <c r="Q87" s="7">
        <v>2</v>
      </c>
      <c r="R87" s="7">
        <v>5</v>
      </c>
      <c r="S87" s="7">
        <v>4</v>
      </c>
      <c r="T87" t="s" s="4">
        <v>451</v>
      </c>
      <c r="U87" t="s" s="4">
        <v>463</v>
      </c>
      <c r="V87" t="s" s="4">
        <v>579</v>
      </c>
      <c r="W87" s="8">
        <v>3</v>
      </c>
      <c r="X87" s="8">
        <v>6</v>
      </c>
      <c r="Y87" s="9">
        <v>0.53</v>
      </c>
      <c r="Z87" s="9">
        <v>2075</v>
      </c>
      <c r="AA87" s="5"/>
      <c r="AB87" s="7">
        <v>7</v>
      </c>
      <c r="AC87" t="s" s="4">
        <v>580</v>
      </c>
    </row>
    <row r="88" ht="15" customHeight="1">
      <c r="A88" s="7">
        <v>86</v>
      </c>
      <c r="B88" t="s" s="4">
        <v>581</v>
      </c>
      <c r="C88" t="s" s="4">
        <v>576</v>
      </c>
      <c r="D88" t="s" s="4">
        <v>582</v>
      </c>
      <c r="E88" s="7">
        <v>5</v>
      </c>
      <c r="F88" t="s" s="4">
        <v>583</v>
      </c>
      <c r="G88" t="s" s="4">
        <v>584</v>
      </c>
      <c r="H88" s="7">
        <v>8</v>
      </c>
      <c r="I88" s="7">
        <v>1</v>
      </c>
      <c r="J88" s="7">
        <v>4</v>
      </c>
      <c r="K88" s="7">
        <v>10</v>
      </c>
      <c r="L88" s="7">
        <v>7</v>
      </c>
      <c r="M88" s="7">
        <v>10</v>
      </c>
      <c r="N88" s="7">
        <v>7</v>
      </c>
      <c r="O88" s="7">
        <v>8</v>
      </c>
      <c r="P88" s="7">
        <v>7</v>
      </c>
      <c r="Q88" s="7">
        <v>2</v>
      </c>
      <c r="R88" s="7">
        <v>8</v>
      </c>
      <c r="S88" s="7">
        <v>9</v>
      </c>
      <c r="T88" t="s" s="4">
        <v>263</v>
      </c>
      <c r="U88" t="s" s="4">
        <v>63</v>
      </c>
      <c r="V88" t="s" s="4">
        <v>585</v>
      </c>
      <c r="W88" s="8">
        <v>3</v>
      </c>
      <c r="X88" s="8">
        <v>3</v>
      </c>
      <c r="Y88" s="9">
        <v>0.53</v>
      </c>
      <c r="Z88" s="9">
        <v>2075</v>
      </c>
      <c r="AA88" s="5"/>
      <c r="AB88" s="7">
        <v>6</v>
      </c>
      <c r="AC88" t="s" s="4">
        <v>586</v>
      </c>
    </row>
    <row r="89" ht="15" customHeight="1">
      <c r="A89" s="7">
        <v>87</v>
      </c>
      <c r="B89" t="s" s="4">
        <v>587</v>
      </c>
      <c r="C89" t="s" s="4">
        <v>246</v>
      </c>
      <c r="D89" t="s" s="4">
        <v>588</v>
      </c>
      <c r="E89" s="7">
        <v>1</v>
      </c>
      <c r="F89" t="s" s="4">
        <v>469</v>
      </c>
      <c r="G89" t="s" s="4">
        <v>589</v>
      </c>
      <c r="H89" s="7">
        <v>5</v>
      </c>
      <c r="I89" s="7">
        <v>7</v>
      </c>
      <c r="J89" s="7">
        <v>9</v>
      </c>
      <c r="K89" s="7">
        <v>8</v>
      </c>
      <c r="L89" s="7">
        <v>7</v>
      </c>
      <c r="M89" s="7">
        <v>5</v>
      </c>
      <c r="N89" s="7">
        <v>5</v>
      </c>
      <c r="O89" s="7">
        <v>7</v>
      </c>
      <c r="P89" s="7">
        <v>7</v>
      </c>
      <c r="Q89" s="7">
        <v>2</v>
      </c>
      <c r="R89" s="7">
        <v>6</v>
      </c>
      <c r="S89" s="7">
        <v>3</v>
      </c>
      <c r="T89" t="s" s="4">
        <v>70</v>
      </c>
      <c r="U89" t="s" s="4">
        <v>590</v>
      </c>
      <c r="V89" t="s" s="4">
        <v>591</v>
      </c>
      <c r="W89" s="8">
        <v>7</v>
      </c>
      <c r="X89" s="8">
        <v>6</v>
      </c>
      <c r="Y89" s="9">
        <v>1.33</v>
      </c>
      <c r="Z89" s="9">
        <v>2902</v>
      </c>
      <c r="AA89" s="5"/>
      <c r="AB89" s="7">
        <v>7</v>
      </c>
      <c r="AC89" t="s" s="4">
        <v>592</v>
      </c>
    </row>
    <row r="90" ht="15" customHeight="1">
      <c r="A90" s="7">
        <v>88</v>
      </c>
      <c r="B90" t="s" s="4">
        <v>593</v>
      </c>
      <c r="C90" t="s" s="4">
        <v>41</v>
      </c>
      <c r="D90" t="s" s="4">
        <v>362</v>
      </c>
      <c r="E90" s="7">
        <v>1</v>
      </c>
      <c r="F90" t="s" s="4">
        <v>274</v>
      </c>
      <c r="G90" t="s" s="4">
        <v>594</v>
      </c>
      <c r="H90" s="7">
        <v>4</v>
      </c>
      <c r="I90" s="7">
        <v>6</v>
      </c>
      <c r="J90" s="7">
        <v>4</v>
      </c>
      <c r="K90" s="7">
        <v>7</v>
      </c>
      <c r="L90" s="7">
        <v>6</v>
      </c>
      <c r="M90" s="7">
        <v>7</v>
      </c>
      <c r="N90" s="7">
        <v>4</v>
      </c>
      <c r="O90" s="7">
        <v>6</v>
      </c>
      <c r="P90" s="7">
        <v>7</v>
      </c>
      <c r="Q90" s="7">
        <v>4</v>
      </c>
      <c r="R90" s="7">
        <v>5</v>
      </c>
      <c r="S90" s="7">
        <v>3</v>
      </c>
      <c r="T90" t="s" s="4">
        <v>135</v>
      </c>
      <c r="U90" t="s" s="4">
        <v>595</v>
      </c>
      <c r="V90" t="s" s="4">
        <v>596</v>
      </c>
      <c r="W90" s="8">
        <v>7</v>
      </c>
      <c r="X90" s="8">
        <v>6</v>
      </c>
      <c r="Y90" s="9">
        <v>0.5600000000000001</v>
      </c>
      <c r="Z90" s="9">
        <v>3733</v>
      </c>
      <c r="AA90" s="5"/>
      <c r="AB90" s="7">
        <v>6</v>
      </c>
      <c r="AC90" t="s" s="4">
        <v>597</v>
      </c>
    </row>
    <row r="91" ht="15" customHeight="1">
      <c r="A91" s="7">
        <v>89</v>
      </c>
      <c r="B91" t="s" s="4">
        <v>598</v>
      </c>
      <c r="C91" t="s" s="4">
        <v>187</v>
      </c>
      <c r="D91" t="s" s="4">
        <v>599</v>
      </c>
      <c r="E91" s="7">
        <v>3</v>
      </c>
      <c r="F91" t="s" s="4">
        <v>600</v>
      </c>
      <c r="G91" t="s" s="4">
        <v>601</v>
      </c>
      <c r="H91" s="7">
        <v>10</v>
      </c>
      <c r="I91" s="7">
        <v>2</v>
      </c>
      <c r="J91" s="7">
        <v>9</v>
      </c>
      <c r="K91" s="7">
        <v>10</v>
      </c>
      <c r="L91" s="7">
        <v>7</v>
      </c>
      <c r="M91" s="7">
        <v>6</v>
      </c>
      <c r="N91" s="7">
        <v>7</v>
      </c>
      <c r="O91" s="7">
        <v>7</v>
      </c>
      <c r="P91" s="7">
        <v>10</v>
      </c>
      <c r="Q91" s="7">
        <v>10</v>
      </c>
      <c r="R91" s="7">
        <v>2</v>
      </c>
      <c r="S91" s="7">
        <v>1</v>
      </c>
      <c r="T91" t="s" s="4">
        <v>227</v>
      </c>
      <c r="U91" t="s" s="4">
        <v>191</v>
      </c>
      <c r="V91" t="s" s="4">
        <v>602</v>
      </c>
      <c r="W91" s="8">
        <v>10</v>
      </c>
      <c r="X91" s="8">
        <v>7</v>
      </c>
      <c r="Y91" s="9">
        <v>0.78</v>
      </c>
      <c r="Z91" s="9">
        <v>7136</v>
      </c>
      <c r="AA91" t="s" s="10">
        <v>193</v>
      </c>
      <c r="AB91" s="7">
        <v>2</v>
      </c>
      <c r="AC91" t="s" s="4">
        <v>603</v>
      </c>
    </row>
    <row r="92" ht="15" customHeight="1">
      <c r="A92" s="7">
        <v>90</v>
      </c>
      <c r="B92" t="s" s="4">
        <v>604</v>
      </c>
      <c r="C92" t="s" s="4">
        <v>570</v>
      </c>
      <c r="D92" t="s" s="4">
        <v>605</v>
      </c>
      <c r="E92" s="7">
        <v>1</v>
      </c>
      <c r="F92" t="s" s="4">
        <v>606</v>
      </c>
      <c r="G92" t="s" s="4">
        <v>607</v>
      </c>
      <c r="H92" s="7">
        <v>4</v>
      </c>
      <c r="I92" s="7">
        <v>8</v>
      </c>
      <c r="J92" s="7">
        <v>9</v>
      </c>
      <c r="K92" s="7">
        <v>6</v>
      </c>
      <c r="L92" s="7">
        <v>5</v>
      </c>
      <c r="M92" s="7">
        <v>8</v>
      </c>
      <c r="N92" s="7">
        <v>6</v>
      </c>
      <c r="O92" s="7">
        <v>5</v>
      </c>
      <c r="P92" s="7">
        <v>6</v>
      </c>
      <c r="Q92" s="7">
        <v>2</v>
      </c>
      <c r="R92" s="7">
        <v>6</v>
      </c>
      <c r="S92" s="7">
        <v>4</v>
      </c>
      <c r="T92" t="s" s="4">
        <v>608</v>
      </c>
      <c r="U92" t="s" s="4">
        <v>609</v>
      </c>
      <c r="V92" t="s" s="4">
        <v>610</v>
      </c>
      <c r="W92" s="8">
        <v>6</v>
      </c>
      <c r="X92" s="8">
        <v>6</v>
      </c>
      <c r="Y92" s="9">
        <v>1.32</v>
      </c>
      <c r="Z92" s="9">
        <v>1812</v>
      </c>
      <c r="AA92" s="5"/>
      <c r="AB92" s="7">
        <v>7</v>
      </c>
      <c r="AC92" t="s" s="4">
        <v>611</v>
      </c>
    </row>
    <row r="93" ht="15" customHeight="1">
      <c r="A93" s="7">
        <v>91</v>
      </c>
      <c r="B93" t="s" s="4">
        <v>612</v>
      </c>
      <c r="C93" t="s" s="4">
        <v>361</v>
      </c>
      <c r="D93" t="s" s="4">
        <v>204</v>
      </c>
      <c r="E93" s="7">
        <v>3</v>
      </c>
      <c r="F93" t="s" s="4">
        <v>507</v>
      </c>
      <c r="G93" t="s" s="4">
        <v>613</v>
      </c>
      <c r="H93" s="7">
        <v>5</v>
      </c>
      <c r="I93" s="7">
        <v>4</v>
      </c>
      <c r="J93" s="7">
        <v>8</v>
      </c>
      <c r="K93" s="7">
        <v>6</v>
      </c>
      <c r="L93" s="7">
        <v>5</v>
      </c>
      <c r="M93" s="7">
        <v>6</v>
      </c>
      <c r="N93" s="7">
        <v>9</v>
      </c>
      <c r="O93" s="7">
        <v>9</v>
      </c>
      <c r="P93" s="7">
        <v>7</v>
      </c>
      <c r="Q93" s="7">
        <v>7</v>
      </c>
      <c r="R93" s="7">
        <v>5</v>
      </c>
      <c r="S93" s="7">
        <v>4</v>
      </c>
      <c r="T93" t="s" s="4">
        <v>70</v>
      </c>
      <c r="U93" t="s" s="4">
        <v>79</v>
      </c>
      <c r="V93" t="s" s="4">
        <v>614</v>
      </c>
      <c r="W93" s="8">
        <v>8</v>
      </c>
      <c r="X93" s="8">
        <v>7</v>
      </c>
      <c r="Y93" s="9">
        <v>0.66</v>
      </c>
      <c r="Z93" s="9">
        <v>3124</v>
      </c>
      <c r="AA93" t="s" s="10">
        <v>364</v>
      </c>
      <c r="AB93" s="7">
        <v>7</v>
      </c>
      <c r="AC93" t="s" s="4">
        <v>615</v>
      </c>
    </row>
    <row r="94" ht="15" customHeight="1">
      <c r="A94" s="7">
        <v>92</v>
      </c>
      <c r="B94" t="s" s="4">
        <v>616</v>
      </c>
      <c r="C94" t="s" s="4">
        <v>41</v>
      </c>
      <c r="D94" t="s" s="4">
        <v>617</v>
      </c>
      <c r="E94" s="7">
        <v>2</v>
      </c>
      <c r="F94" t="s" s="4">
        <v>618</v>
      </c>
      <c r="G94" t="s" s="4">
        <v>619</v>
      </c>
      <c r="H94" s="7">
        <v>6</v>
      </c>
      <c r="I94" s="7">
        <v>6</v>
      </c>
      <c r="J94" s="7">
        <v>7</v>
      </c>
      <c r="K94" s="7">
        <v>7</v>
      </c>
      <c r="L94" s="7">
        <v>5</v>
      </c>
      <c r="M94" s="7">
        <v>8</v>
      </c>
      <c r="N94" s="7">
        <v>7</v>
      </c>
      <c r="O94" s="7">
        <v>8</v>
      </c>
      <c r="P94" s="7">
        <v>8</v>
      </c>
      <c r="Q94" s="7">
        <v>4</v>
      </c>
      <c r="R94" s="7">
        <v>3</v>
      </c>
      <c r="S94" s="7">
        <v>6</v>
      </c>
      <c r="T94" t="s" s="4">
        <v>70</v>
      </c>
      <c r="U94" t="s" s="4">
        <v>554</v>
      </c>
      <c r="V94" t="s" s="4">
        <v>620</v>
      </c>
      <c r="W94" s="8">
        <v>7</v>
      </c>
      <c r="X94" s="8">
        <v>7</v>
      </c>
      <c r="Y94" s="9">
        <v>0.5600000000000001</v>
      </c>
      <c r="Z94" s="9">
        <v>3733</v>
      </c>
      <c r="AA94" s="5"/>
      <c r="AB94" s="7">
        <v>6</v>
      </c>
      <c r="AC94" t="s" s="4">
        <v>621</v>
      </c>
    </row>
    <row r="95" ht="15" customHeight="1">
      <c r="A95" s="7">
        <v>93</v>
      </c>
      <c r="B95" t="s" s="4">
        <v>622</v>
      </c>
      <c r="C95" t="s" s="4">
        <v>131</v>
      </c>
      <c r="D95" t="s" s="4">
        <v>623</v>
      </c>
      <c r="E95" s="7">
        <v>4</v>
      </c>
      <c r="F95" t="s" s="4">
        <v>624</v>
      </c>
      <c r="G95" t="s" s="4">
        <v>625</v>
      </c>
      <c r="H95" s="7">
        <v>8</v>
      </c>
      <c r="I95" s="7">
        <v>3</v>
      </c>
      <c r="J95" s="7">
        <v>7</v>
      </c>
      <c r="K95" s="7">
        <v>7</v>
      </c>
      <c r="L95" s="7">
        <v>8</v>
      </c>
      <c r="M95" s="7">
        <v>10</v>
      </c>
      <c r="N95" s="7">
        <v>8</v>
      </c>
      <c r="O95" s="7">
        <v>7</v>
      </c>
      <c r="P95" s="7">
        <v>9</v>
      </c>
      <c r="Q95" s="7">
        <v>5</v>
      </c>
      <c r="R95" s="7">
        <v>7</v>
      </c>
      <c r="S95" s="7">
        <v>9</v>
      </c>
      <c r="T95" t="s" s="4">
        <v>451</v>
      </c>
      <c r="U95" t="s" s="4">
        <v>626</v>
      </c>
      <c r="V95" t="s" s="4">
        <v>627</v>
      </c>
      <c r="W95" s="8">
        <v>3</v>
      </c>
      <c r="X95" s="8">
        <v>4</v>
      </c>
      <c r="Y95" s="9">
        <v>0.5</v>
      </c>
      <c r="Z95" s="9">
        <v>4963</v>
      </c>
      <c r="AA95" t="s" s="10">
        <v>137</v>
      </c>
      <c r="AB95" s="7">
        <v>4</v>
      </c>
      <c r="AC95" t="s" s="4">
        <v>628</v>
      </c>
    </row>
    <row r="96" ht="15" customHeight="1">
      <c r="A96" s="7">
        <v>94</v>
      </c>
      <c r="B96" t="s" s="4">
        <v>629</v>
      </c>
      <c r="C96" t="s" s="4">
        <v>525</v>
      </c>
      <c r="D96" t="s" s="4">
        <v>630</v>
      </c>
      <c r="E96" s="7">
        <v>2</v>
      </c>
      <c r="F96" t="s" s="4">
        <v>133</v>
      </c>
      <c r="G96" t="s" s="4">
        <v>631</v>
      </c>
      <c r="H96" s="7">
        <v>10</v>
      </c>
      <c r="I96" s="7">
        <v>4</v>
      </c>
      <c r="J96" s="7">
        <v>10</v>
      </c>
      <c r="K96" s="7">
        <v>5</v>
      </c>
      <c r="L96" s="7">
        <v>6</v>
      </c>
      <c r="M96" s="7">
        <v>10</v>
      </c>
      <c r="N96" s="7">
        <v>7</v>
      </c>
      <c r="O96" s="7">
        <v>7</v>
      </c>
      <c r="P96" s="7">
        <v>8</v>
      </c>
      <c r="Q96" s="7">
        <v>3</v>
      </c>
      <c r="R96" s="7">
        <v>5</v>
      </c>
      <c r="S96" s="7">
        <v>9</v>
      </c>
      <c r="T96" t="s" s="4">
        <v>632</v>
      </c>
      <c r="U96" t="s" s="4">
        <v>358</v>
      </c>
      <c r="V96" t="s" s="4">
        <v>633</v>
      </c>
      <c r="W96" s="8">
        <v>3</v>
      </c>
      <c r="X96" s="8">
        <v>7</v>
      </c>
      <c r="Y96" s="9">
        <v>0.48</v>
      </c>
      <c r="Z96" s="9">
        <v>1814</v>
      </c>
      <c r="AA96" s="5"/>
      <c r="AB96" s="7">
        <v>6</v>
      </c>
      <c r="AC96" t="s" s="4">
        <v>634</v>
      </c>
    </row>
    <row r="97" ht="15" customHeight="1">
      <c r="A97" s="7">
        <v>95</v>
      </c>
      <c r="B97" t="s" s="4">
        <v>635</v>
      </c>
      <c r="C97" t="s" s="4">
        <v>636</v>
      </c>
      <c r="D97" t="s" s="4">
        <v>637</v>
      </c>
      <c r="E97" s="7">
        <v>1</v>
      </c>
      <c r="F97" t="s" s="4">
        <v>440</v>
      </c>
      <c r="G97" t="s" s="4">
        <v>333</v>
      </c>
      <c r="H97" s="7">
        <v>8</v>
      </c>
      <c r="I97" s="7">
        <v>5</v>
      </c>
      <c r="J97" s="7">
        <v>9</v>
      </c>
      <c r="K97" s="7">
        <v>7</v>
      </c>
      <c r="L97" s="7">
        <v>8</v>
      </c>
      <c r="M97" s="7">
        <v>5</v>
      </c>
      <c r="N97" s="7">
        <v>6</v>
      </c>
      <c r="O97" s="7">
        <v>5</v>
      </c>
      <c r="P97" s="7">
        <v>10</v>
      </c>
      <c r="Q97" s="7">
        <v>8</v>
      </c>
      <c r="R97" s="7">
        <v>2</v>
      </c>
      <c r="S97" s="7">
        <v>1</v>
      </c>
      <c r="T97" t="s" s="4">
        <v>638</v>
      </c>
      <c r="U97" t="s" s="4">
        <v>639</v>
      </c>
      <c r="V97" t="s" s="4">
        <v>640</v>
      </c>
      <c r="W97" s="8">
        <v>10</v>
      </c>
      <c r="X97" s="8">
        <v>8</v>
      </c>
      <c r="Y97" s="9">
        <v>0.55</v>
      </c>
      <c r="Z97" s="9">
        <v>5986</v>
      </c>
      <c r="AA97" t="s" s="10">
        <v>641</v>
      </c>
      <c r="AB97" s="7">
        <v>1</v>
      </c>
      <c r="AC97" t="s" s="4">
        <v>642</v>
      </c>
    </row>
    <row r="98" ht="15" customHeight="1">
      <c r="A98" s="7">
        <v>96</v>
      </c>
      <c r="B98" t="s" s="4">
        <v>643</v>
      </c>
      <c r="C98" t="s" s="4">
        <v>644</v>
      </c>
      <c r="D98" t="s" s="4">
        <v>645</v>
      </c>
      <c r="E98" s="7">
        <v>1</v>
      </c>
      <c r="F98" t="s" s="4">
        <v>248</v>
      </c>
      <c r="G98" t="s" s="4">
        <v>646</v>
      </c>
      <c r="H98" s="7">
        <v>7</v>
      </c>
      <c r="I98" s="7">
        <v>7</v>
      </c>
      <c r="J98" s="7">
        <v>8</v>
      </c>
      <c r="K98" s="7">
        <v>7</v>
      </c>
      <c r="L98" s="7">
        <v>5</v>
      </c>
      <c r="M98" s="7">
        <v>5</v>
      </c>
      <c r="N98" s="7">
        <v>6</v>
      </c>
      <c r="O98" s="7">
        <v>7</v>
      </c>
      <c r="P98" s="7">
        <v>8</v>
      </c>
      <c r="Q98" s="7">
        <v>5</v>
      </c>
      <c r="R98" s="7">
        <v>3</v>
      </c>
      <c r="S98" s="7">
        <v>5</v>
      </c>
      <c r="T98" t="s" s="4">
        <v>182</v>
      </c>
      <c r="U98" t="s" s="4">
        <v>647</v>
      </c>
      <c r="V98" t="s" s="4">
        <v>648</v>
      </c>
      <c r="W98" s="8">
        <v>7</v>
      </c>
      <c r="X98" s="8">
        <v>8</v>
      </c>
      <c r="Y98" s="9">
        <v>0.79</v>
      </c>
      <c r="Z98" s="9">
        <v>5010</v>
      </c>
      <c r="AA98" s="5"/>
      <c r="AB98" s="7">
        <v>4</v>
      </c>
      <c r="AC98" t="s" s="4">
        <v>649</v>
      </c>
    </row>
    <row r="99" ht="15" customHeight="1">
      <c r="A99" s="7">
        <v>97</v>
      </c>
      <c r="B99" t="s" s="4">
        <v>650</v>
      </c>
      <c r="C99" t="s" s="4">
        <v>651</v>
      </c>
      <c r="D99" t="s" s="4">
        <v>652</v>
      </c>
      <c r="E99" s="7">
        <v>3</v>
      </c>
      <c r="F99" t="s" s="4">
        <v>68</v>
      </c>
      <c r="G99" t="s" s="4">
        <v>653</v>
      </c>
      <c r="H99" s="7">
        <v>6</v>
      </c>
      <c r="I99" s="7">
        <v>5</v>
      </c>
      <c r="J99" s="7">
        <v>8</v>
      </c>
      <c r="K99" s="7">
        <v>3</v>
      </c>
      <c r="L99" s="7">
        <v>7</v>
      </c>
      <c r="M99" s="7">
        <v>9</v>
      </c>
      <c r="N99" s="7">
        <v>7</v>
      </c>
      <c r="O99" s="7">
        <v>7</v>
      </c>
      <c r="P99" s="7">
        <v>8</v>
      </c>
      <c r="Q99" s="7">
        <v>3</v>
      </c>
      <c r="R99" s="7">
        <v>9</v>
      </c>
      <c r="S99" s="7">
        <v>5</v>
      </c>
      <c r="T99" t="s" s="4">
        <v>53</v>
      </c>
      <c r="U99" t="s" s="4">
        <v>654</v>
      </c>
      <c r="V99" t="s" s="4">
        <v>655</v>
      </c>
      <c r="W99" s="8">
        <v>6</v>
      </c>
      <c r="X99" s="8">
        <v>4</v>
      </c>
      <c r="Y99" s="9">
        <v>1.51</v>
      </c>
      <c r="Z99" s="9">
        <v>1063</v>
      </c>
      <c r="AA99" s="5"/>
      <c r="AB99" s="7">
        <v>7</v>
      </c>
      <c r="AC99" t="s" s="4">
        <v>656</v>
      </c>
    </row>
    <row r="100" ht="15" customHeight="1">
      <c r="A100" s="7">
        <v>98</v>
      </c>
      <c r="B100" t="s" s="4">
        <v>657</v>
      </c>
      <c r="C100" t="s" s="4">
        <v>318</v>
      </c>
      <c r="D100" t="s" s="4">
        <v>658</v>
      </c>
      <c r="E100" s="7">
        <v>2</v>
      </c>
      <c r="F100" t="s" s="4">
        <v>559</v>
      </c>
      <c r="G100" t="s" s="4">
        <v>659</v>
      </c>
      <c r="H100" s="7">
        <v>6</v>
      </c>
      <c r="I100" s="7">
        <v>5</v>
      </c>
      <c r="J100" s="7">
        <v>8</v>
      </c>
      <c r="K100" s="7">
        <v>7</v>
      </c>
      <c r="L100" s="7">
        <v>6</v>
      </c>
      <c r="M100" s="7">
        <v>8</v>
      </c>
      <c r="N100" s="7">
        <v>7</v>
      </c>
      <c r="O100" s="7">
        <v>8</v>
      </c>
      <c r="P100" s="7">
        <v>8</v>
      </c>
      <c r="Q100" s="7">
        <v>3</v>
      </c>
      <c r="R100" s="7">
        <v>9</v>
      </c>
      <c r="S100" s="7">
        <v>4</v>
      </c>
      <c r="T100" t="s" s="4">
        <v>288</v>
      </c>
      <c r="U100" t="s" s="4">
        <v>660</v>
      </c>
      <c r="V100" t="s" s="4">
        <v>661</v>
      </c>
      <c r="W100" s="8">
        <v>6</v>
      </c>
      <c r="X100" s="8">
        <v>4</v>
      </c>
      <c r="Y100" s="9">
        <v>1.19</v>
      </c>
      <c r="Z100" s="9">
        <v>2924</v>
      </c>
      <c r="AA100" s="5"/>
      <c r="AB100" s="7">
        <v>9</v>
      </c>
      <c r="AC100" t="s" s="4">
        <v>662</v>
      </c>
    </row>
    <row r="101" ht="15" customHeight="1">
      <c r="A101" s="7">
        <v>99</v>
      </c>
      <c r="B101" t="s" s="4">
        <v>663</v>
      </c>
      <c r="C101" t="s" s="4">
        <v>664</v>
      </c>
      <c r="D101" t="s" s="4">
        <v>665</v>
      </c>
      <c r="E101" s="7">
        <v>4</v>
      </c>
      <c r="F101" t="s" s="4">
        <v>666</v>
      </c>
      <c r="G101" t="s" s="4">
        <v>667</v>
      </c>
      <c r="H101" s="7">
        <v>4</v>
      </c>
      <c r="I101" s="7">
        <v>2</v>
      </c>
      <c r="J101" s="7">
        <v>4</v>
      </c>
      <c r="K101" s="7">
        <v>4</v>
      </c>
      <c r="L101" s="7">
        <v>9</v>
      </c>
      <c r="M101" s="7">
        <v>8</v>
      </c>
      <c r="N101" s="7">
        <v>7</v>
      </c>
      <c r="O101" s="7">
        <v>7</v>
      </c>
      <c r="P101" s="7">
        <v>9</v>
      </c>
      <c r="Q101" s="7">
        <v>4</v>
      </c>
      <c r="R101" s="7">
        <v>8</v>
      </c>
      <c r="S101" s="7">
        <v>5</v>
      </c>
      <c r="T101" t="s" s="4">
        <v>101</v>
      </c>
      <c r="U101" t="s" s="4">
        <v>668</v>
      </c>
      <c r="V101" t="s" s="4">
        <v>669</v>
      </c>
      <c r="W101" s="8">
        <v>7</v>
      </c>
      <c r="X101" s="8">
        <v>3</v>
      </c>
      <c r="Y101" s="9">
        <v>1</v>
      </c>
      <c r="Z101" s="9">
        <v>1483</v>
      </c>
      <c r="AA101" s="5"/>
      <c r="AB101" s="7">
        <v>4</v>
      </c>
      <c r="AC101" t="s" s="4">
        <v>670</v>
      </c>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K89"/>
  <sheetViews>
    <sheetView workbookViewId="0" showGridLines="0" defaultGridColor="1"/>
  </sheetViews>
  <sheetFormatPr defaultColWidth="8.66667" defaultRowHeight="15" customHeight="1" outlineLevelRow="0" outlineLevelCol="0"/>
  <cols>
    <col min="1" max="1" width="26" style="11" customWidth="1"/>
    <col min="2" max="10" width="13" style="11" customWidth="1"/>
    <col min="11" max="11" width="8" style="11" customWidth="1"/>
    <col min="12" max="16384" width="8.67188" style="11" customWidth="1"/>
  </cols>
  <sheetData>
    <row r="1" ht="17.25" customHeight="1">
      <c r="A1" t="s" s="3">
        <v>671</v>
      </c>
      <c r="B1" s="2"/>
      <c r="C1" s="2"/>
      <c r="D1" s="2"/>
      <c r="E1" s="2"/>
      <c r="F1" s="2"/>
      <c r="G1" s="2"/>
      <c r="H1" s="2"/>
      <c r="I1" s="2"/>
      <c r="J1" s="2"/>
      <c r="K1" s="2"/>
    </row>
    <row r="2" ht="27.75" customHeight="1">
      <c r="A2" t="s" s="6">
        <v>672</v>
      </c>
      <c r="B2" t="s" s="6">
        <v>673</v>
      </c>
      <c r="C2" t="s" s="6">
        <v>674</v>
      </c>
      <c r="D2" t="s" s="6">
        <v>675</v>
      </c>
      <c r="E2" t="s" s="6">
        <v>676</v>
      </c>
      <c r="F2" t="s" s="6">
        <v>677</v>
      </c>
      <c r="G2" t="s" s="6">
        <v>678</v>
      </c>
      <c r="H2" t="s" s="6">
        <v>679</v>
      </c>
      <c r="I2" t="s" s="6">
        <v>680</v>
      </c>
      <c r="J2" t="s" s="6">
        <v>681</v>
      </c>
      <c r="K2" t="s" s="6">
        <v>682</v>
      </c>
    </row>
    <row r="3" ht="15" customHeight="1">
      <c r="A3" t="s" s="4">
        <v>683</v>
      </c>
      <c r="B3" s="7">
        <v>8</v>
      </c>
      <c r="C3" s="7">
        <v>3</v>
      </c>
      <c r="D3" s="7">
        <v>10</v>
      </c>
      <c r="E3" s="7">
        <v>9</v>
      </c>
      <c r="F3" s="7">
        <v>5</v>
      </c>
      <c r="G3" s="7">
        <v>6</v>
      </c>
      <c r="H3" s="7">
        <v>10</v>
      </c>
      <c r="I3" s="7">
        <v>9</v>
      </c>
      <c r="J3" s="7">
        <v>8</v>
      </c>
      <c r="K3" s="7" cm="1">
        <f t="array" ref="K3">SUM(B3:J3)</f>
        <v>68</v>
      </c>
    </row>
    <row r="4" ht="15" customHeight="1">
      <c r="A4" t="s" s="4">
        <v>684</v>
      </c>
      <c r="B4" s="7">
        <v>8</v>
      </c>
      <c r="C4" s="7">
        <v>6</v>
      </c>
      <c r="D4" s="7">
        <v>7</v>
      </c>
      <c r="E4" s="7">
        <v>9</v>
      </c>
      <c r="F4" s="7">
        <v>8</v>
      </c>
      <c r="G4" s="7">
        <v>7</v>
      </c>
      <c r="H4" s="7">
        <v>8</v>
      </c>
      <c r="I4" s="7">
        <v>6</v>
      </c>
      <c r="J4" s="7">
        <v>9</v>
      </c>
      <c r="K4" s="7" cm="1">
        <f t="array" ref="K4">SUM(B4:J4)</f>
        <v>68</v>
      </c>
    </row>
    <row r="5" ht="15" customHeight="1">
      <c r="A5" t="s" s="4">
        <v>685</v>
      </c>
      <c r="B5" s="7">
        <v>10</v>
      </c>
      <c r="C5" s="7">
        <v>6</v>
      </c>
      <c r="D5" s="7">
        <v>10</v>
      </c>
      <c r="E5" s="7">
        <v>9</v>
      </c>
      <c r="F5" s="7">
        <v>6</v>
      </c>
      <c r="G5" s="7">
        <v>6</v>
      </c>
      <c r="H5" s="7">
        <v>7</v>
      </c>
      <c r="I5" s="7">
        <v>6</v>
      </c>
      <c r="J5" s="7">
        <v>8</v>
      </c>
      <c r="K5" s="7" cm="1">
        <f t="array" ref="K5">SUM(B5:J5)</f>
        <v>68</v>
      </c>
    </row>
    <row r="6" ht="15" customHeight="1">
      <c r="A6" t="s" s="4">
        <v>686</v>
      </c>
      <c r="B6" s="7">
        <v>7</v>
      </c>
      <c r="C6" s="7">
        <v>5</v>
      </c>
      <c r="D6" s="7">
        <v>10</v>
      </c>
      <c r="E6" s="7">
        <v>9</v>
      </c>
      <c r="F6" s="7">
        <v>6</v>
      </c>
      <c r="G6" s="7">
        <v>6</v>
      </c>
      <c r="H6" s="7">
        <v>9</v>
      </c>
      <c r="I6" s="7">
        <v>5</v>
      </c>
      <c r="J6" s="7">
        <v>9</v>
      </c>
      <c r="K6" s="7" cm="1">
        <f t="array" ref="K6">SUM(B6:J6)</f>
        <v>66</v>
      </c>
    </row>
    <row r="7" ht="15" customHeight="1">
      <c r="A7" t="s" s="4">
        <v>687</v>
      </c>
      <c r="B7" s="7">
        <v>9</v>
      </c>
      <c r="C7" s="7">
        <v>6</v>
      </c>
      <c r="D7" s="7">
        <v>5</v>
      </c>
      <c r="E7" s="7">
        <v>9</v>
      </c>
      <c r="F7" s="7">
        <v>8</v>
      </c>
      <c r="G7" s="7">
        <v>6</v>
      </c>
      <c r="H7" s="7">
        <v>9</v>
      </c>
      <c r="I7" s="7">
        <v>7</v>
      </c>
      <c r="J7" s="7">
        <v>9</v>
      </c>
      <c r="K7" s="7" cm="1">
        <f t="array" ref="K7">SUM(B7:J7)</f>
        <v>68</v>
      </c>
    </row>
    <row r="8" ht="15" customHeight="1">
      <c r="A8" t="s" s="4">
        <v>688</v>
      </c>
      <c r="B8" s="7">
        <v>9</v>
      </c>
      <c r="C8" s="7">
        <v>3</v>
      </c>
      <c r="D8" s="7">
        <v>10</v>
      </c>
      <c r="E8" s="7">
        <v>8</v>
      </c>
      <c r="F8" s="7">
        <v>4</v>
      </c>
      <c r="G8" s="7">
        <v>8</v>
      </c>
      <c r="H8" s="7">
        <v>10</v>
      </c>
      <c r="I8" s="7">
        <v>6</v>
      </c>
      <c r="J8" s="7">
        <v>8</v>
      </c>
      <c r="K8" s="7" cm="1">
        <f t="array" ref="K8">SUM(B8:J8)</f>
        <v>66</v>
      </c>
    </row>
    <row r="9" ht="15" customHeight="1">
      <c r="A9" t="s" s="4">
        <v>689</v>
      </c>
      <c r="B9" s="7">
        <v>6</v>
      </c>
      <c r="C9" s="7">
        <v>8</v>
      </c>
      <c r="D9" s="7">
        <v>8</v>
      </c>
      <c r="E9" s="7">
        <v>9</v>
      </c>
      <c r="F9" s="7">
        <v>5</v>
      </c>
      <c r="G9" s="7">
        <v>8</v>
      </c>
      <c r="H9" s="7">
        <v>7</v>
      </c>
      <c r="I9" s="7">
        <v>7</v>
      </c>
      <c r="J9" s="7">
        <v>8</v>
      </c>
      <c r="K9" s="7" cm="1">
        <f t="array" ref="K9">SUM(B9:J9)</f>
        <v>66</v>
      </c>
    </row>
    <row r="10" ht="15" customHeight="1">
      <c r="A10" t="s" s="4">
        <v>690</v>
      </c>
      <c r="B10" s="7">
        <v>9</v>
      </c>
      <c r="C10" s="7">
        <v>4</v>
      </c>
      <c r="D10" s="7">
        <v>8</v>
      </c>
      <c r="E10" s="7">
        <v>8</v>
      </c>
      <c r="F10" s="7">
        <v>3</v>
      </c>
      <c r="G10" s="7">
        <v>4</v>
      </c>
      <c r="H10" s="7">
        <v>8</v>
      </c>
      <c r="I10" s="7">
        <v>8</v>
      </c>
      <c r="J10" s="7">
        <v>7</v>
      </c>
      <c r="K10" s="7" cm="1">
        <f t="array" ref="K10">SUM(B10:J10)</f>
        <v>59</v>
      </c>
    </row>
    <row r="11" ht="15" customHeight="1">
      <c r="A11" t="s" s="4">
        <v>691</v>
      </c>
      <c r="B11" s="7">
        <v>9</v>
      </c>
      <c r="C11" s="7">
        <v>5</v>
      </c>
      <c r="D11" s="7">
        <v>10</v>
      </c>
      <c r="E11" s="7">
        <v>6</v>
      </c>
      <c r="F11" s="7">
        <v>8</v>
      </c>
      <c r="G11" s="7">
        <v>5</v>
      </c>
      <c r="H11" s="7">
        <v>7</v>
      </c>
      <c r="I11" s="7">
        <v>7</v>
      </c>
      <c r="J11" s="7">
        <v>8</v>
      </c>
      <c r="K11" s="7" cm="1">
        <f t="array" ref="K11">SUM(B11:J11)</f>
        <v>65</v>
      </c>
    </row>
    <row r="12" ht="15" customHeight="1">
      <c r="A12" t="s" s="4">
        <v>692</v>
      </c>
      <c r="B12" s="7">
        <v>6</v>
      </c>
      <c r="C12" s="7">
        <v>8</v>
      </c>
      <c r="D12" s="7">
        <v>8</v>
      </c>
      <c r="E12" s="7">
        <v>7</v>
      </c>
      <c r="F12" s="7">
        <v>6</v>
      </c>
      <c r="G12" s="7">
        <v>8</v>
      </c>
      <c r="H12" s="7">
        <v>7</v>
      </c>
      <c r="I12" s="7">
        <v>7</v>
      </c>
      <c r="J12" s="7">
        <v>8</v>
      </c>
      <c r="K12" s="7" cm="1">
        <f t="array" ref="K12">SUM(B12:J12)</f>
        <v>65</v>
      </c>
    </row>
    <row r="13" ht="15" customHeight="1">
      <c r="A13" t="s" s="4">
        <v>693</v>
      </c>
      <c r="B13" s="7">
        <v>8</v>
      </c>
      <c r="C13" s="7">
        <v>5</v>
      </c>
      <c r="D13" s="7">
        <v>9</v>
      </c>
      <c r="E13" s="7">
        <v>6</v>
      </c>
      <c r="F13" s="7">
        <v>7</v>
      </c>
      <c r="G13" s="7">
        <v>8</v>
      </c>
      <c r="H13" s="7">
        <v>7</v>
      </c>
      <c r="I13" s="7">
        <v>5</v>
      </c>
      <c r="J13" s="7">
        <v>9</v>
      </c>
      <c r="K13" s="7" cm="1">
        <f t="array" ref="K13">SUM(B13:J13)</f>
        <v>64</v>
      </c>
    </row>
    <row r="14" ht="15" customHeight="1">
      <c r="A14" t="s" s="4">
        <v>694</v>
      </c>
      <c r="B14" s="7">
        <v>9</v>
      </c>
      <c r="C14" s="7">
        <v>7</v>
      </c>
      <c r="D14" s="7">
        <v>9</v>
      </c>
      <c r="E14" s="7">
        <v>9</v>
      </c>
      <c r="F14" s="7">
        <v>3</v>
      </c>
      <c r="G14" s="7">
        <v>6</v>
      </c>
      <c r="H14" s="7">
        <v>8</v>
      </c>
      <c r="I14" s="7">
        <v>6</v>
      </c>
      <c r="J14" s="7">
        <v>7</v>
      </c>
      <c r="K14" s="7" cm="1">
        <f t="array" ref="K14">SUM(B14:J14)</f>
        <v>64</v>
      </c>
    </row>
    <row r="15" ht="15" customHeight="1">
      <c r="A15" t="s" s="4">
        <v>695</v>
      </c>
      <c r="B15" s="7">
        <v>9</v>
      </c>
      <c r="C15" s="7">
        <v>5</v>
      </c>
      <c r="D15" s="7">
        <v>9</v>
      </c>
      <c r="E15" s="7">
        <v>9</v>
      </c>
      <c r="F15" s="7">
        <v>5</v>
      </c>
      <c r="G15" s="7">
        <v>6</v>
      </c>
      <c r="H15" s="7">
        <v>7</v>
      </c>
      <c r="I15" s="7">
        <v>5</v>
      </c>
      <c r="J15" s="7">
        <v>9</v>
      </c>
      <c r="K15" s="7" cm="1">
        <f t="array" ref="K15">SUM(B15:J15)</f>
        <v>64</v>
      </c>
    </row>
    <row r="16" ht="15" customHeight="1">
      <c r="A16" t="s" s="4">
        <v>696</v>
      </c>
      <c r="B16" s="7">
        <v>8</v>
      </c>
      <c r="C16" s="7">
        <v>5</v>
      </c>
      <c r="D16" s="7">
        <v>10</v>
      </c>
      <c r="E16" s="7">
        <v>6</v>
      </c>
      <c r="F16" s="7">
        <v>8</v>
      </c>
      <c r="G16" s="7">
        <v>5</v>
      </c>
      <c r="H16" s="7">
        <v>7</v>
      </c>
      <c r="I16" s="7">
        <v>6</v>
      </c>
      <c r="J16" s="7">
        <v>9</v>
      </c>
      <c r="K16" s="7" cm="1">
        <f t="array" ref="K16">SUM(B16:J16)</f>
        <v>64</v>
      </c>
    </row>
    <row r="17" ht="15" customHeight="1">
      <c r="A17" t="s" s="4">
        <v>697</v>
      </c>
      <c r="B17" s="7">
        <v>6</v>
      </c>
      <c r="C17" s="7">
        <v>5</v>
      </c>
      <c r="D17" s="7">
        <v>8</v>
      </c>
      <c r="E17" s="7">
        <v>9</v>
      </c>
      <c r="F17" s="7">
        <v>7</v>
      </c>
      <c r="G17" s="7">
        <v>6</v>
      </c>
      <c r="H17" s="7">
        <v>6</v>
      </c>
      <c r="I17" s="7">
        <v>8</v>
      </c>
      <c r="J17" s="7">
        <v>9</v>
      </c>
      <c r="K17" s="7" cm="1">
        <f t="array" ref="K17">SUM(B17:J17)</f>
        <v>64</v>
      </c>
    </row>
    <row r="18" ht="15" customHeight="1">
      <c r="A18" t="s" s="4">
        <v>698</v>
      </c>
      <c r="B18" s="7">
        <v>7</v>
      </c>
      <c r="C18" s="7">
        <v>6</v>
      </c>
      <c r="D18" s="7">
        <v>6</v>
      </c>
      <c r="E18" s="7">
        <v>9</v>
      </c>
      <c r="F18" s="7">
        <v>5</v>
      </c>
      <c r="G18" s="7">
        <v>5</v>
      </c>
      <c r="H18" s="7">
        <v>10</v>
      </c>
      <c r="I18" s="7">
        <v>9</v>
      </c>
      <c r="J18" s="7">
        <v>7</v>
      </c>
      <c r="K18" s="7" cm="1">
        <f t="array" ref="K18">SUM(B18:J18)</f>
        <v>64</v>
      </c>
    </row>
    <row r="19" ht="15" customHeight="1">
      <c r="A19" t="s" s="4">
        <v>699</v>
      </c>
      <c r="B19" s="7">
        <v>8</v>
      </c>
      <c r="C19" s="7">
        <v>8</v>
      </c>
      <c r="D19" s="7">
        <v>10</v>
      </c>
      <c r="E19" s="7">
        <v>6</v>
      </c>
      <c r="F19" s="7">
        <v>6</v>
      </c>
      <c r="G19" s="7">
        <v>6</v>
      </c>
      <c r="H19" s="7">
        <v>7</v>
      </c>
      <c r="I19" s="7">
        <v>5</v>
      </c>
      <c r="J19" s="7">
        <v>8</v>
      </c>
      <c r="K19" s="7" cm="1">
        <f t="array" ref="K19">SUM(B19:J19)</f>
        <v>64</v>
      </c>
    </row>
    <row r="20" ht="15" customHeight="1">
      <c r="A20" t="s" s="4">
        <v>700</v>
      </c>
      <c r="B20" s="7">
        <v>5</v>
      </c>
      <c r="C20" s="7">
        <v>9</v>
      </c>
      <c r="D20" s="7">
        <v>8</v>
      </c>
      <c r="E20" s="7">
        <v>10</v>
      </c>
      <c r="F20" s="7">
        <v>6</v>
      </c>
      <c r="G20" s="7">
        <v>8</v>
      </c>
      <c r="H20" s="7">
        <v>6</v>
      </c>
      <c r="I20" s="7">
        <v>4</v>
      </c>
      <c r="J20" s="7">
        <v>7</v>
      </c>
      <c r="K20" s="7" cm="1">
        <f t="array" ref="K20">SUM(B20:J20)</f>
        <v>63</v>
      </c>
    </row>
    <row r="21" ht="15" customHeight="1">
      <c r="A21" t="s" s="4">
        <v>701</v>
      </c>
      <c r="B21" s="7">
        <v>6</v>
      </c>
      <c r="C21" s="7">
        <v>8</v>
      </c>
      <c r="D21" s="7">
        <v>8</v>
      </c>
      <c r="E21" s="7">
        <v>8</v>
      </c>
      <c r="F21" s="7">
        <v>4</v>
      </c>
      <c r="G21" s="7">
        <v>9</v>
      </c>
      <c r="H21" s="7">
        <v>7</v>
      </c>
      <c r="I21" s="7">
        <v>5</v>
      </c>
      <c r="J21" s="7">
        <v>8</v>
      </c>
      <c r="K21" s="7" cm="1">
        <f t="array" ref="K21">SUM(B21:J21)</f>
        <v>63</v>
      </c>
    </row>
    <row r="22" ht="15" customHeight="1">
      <c r="A22" t="s" s="4">
        <v>702</v>
      </c>
      <c r="B22" s="7">
        <v>9</v>
      </c>
      <c r="C22" s="7">
        <v>6</v>
      </c>
      <c r="D22" s="7">
        <v>8</v>
      </c>
      <c r="E22" s="7">
        <v>9</v>
      </c>
      <c r="F22" s="7">
        <v>5</v>
      </c>
      <c r="G22" s="7">
        <v>5</v>
      </c>
      <c r="H22" s="7">
        <v>6</v>
      </c>
      <c r="I22" s="7">
        <v>7</v>
      </c>
      <c r="J22" s="7">
        <v>8</v>
      </c>
      <c r="K22" s="7" cm="1">
        <f t="array" ref="K22">SUM(B22:J22)</f>
        <v>63</v>
      </c>
    </row>
    <row r="23" ht="15" customHeight="1">
      <c r="A23" t="s" s="4">
        <v>703</v>
      </c>
      <c r="B23" s="7">
        <v>6</v>
      </c>
      <c r="C23" s="7">
        <v>4</v>
      </c>
      <c r="D23" s="7">
        <v>8</v>
      </c>
      <c r="E23" s="7">
        <v>6</v>
      </c>
      <c r="F23" s="7">
        <v>7</v>
      </c>
      <c r="G23" s="7">
        <v>10</v>
      </c>
      <c r="H23" s="7">
        <v>7</v>
      </c>
      <c r="I23" s="7">
        <v>8</v>
      </c>
      <c r="J23" s="7">
        <v>7</v>
      </c>
      <c r="K23" s="7" cm="1">
        <f t="array" ref="K23">SUM(B23:J23)</f>
        <v>63</v>
      </c>
    </row>
    <row r="24" ht="15" customHeight="1">
      <c r="A24" t="s" s="4">
        <v>704</v>
      </c>
      <c r="B24" s="7">
        <v>10</v>
      </c>
      <c r="C24" s="7">
        <v>5</v>
      </c>
      <c r="D24" s="7">
        <v>9</v>
      </c>
      <c r="E24" s="7">
        <v>3</v>
      </c>
      <c r="F24" s="7">
        <v>7</v>
      </c>
      <c r="G24" s="7">
        <v>6</v>
      </c>
      <c r="H24" s="7">
        <v>7</v>
      </c>
      <c r="I24" s="7">
        <v>7</v>
      </c>
      <c r="J24" s="7">
        <v>8</v>
      </c>
      <c r="K24" s="7" cm="1">
        <f t="array" ref="K24">SUM(B24:J24)</f>
        <v>62</v>
      </c>
    </row>
    <row r="25" ht="15" customHeight="1">
      <c r="A25" t="s" s="4">
        <v>705</v>
      </c>
      <c r="B25" s="7">
        <v>8</v>
      </c>
      <c r="C25" s="7">
        <v>1</v>
      </c>
      <c r="D25" s="7">
        <v>4</v>
      </c>
      <c r="E25" s="7">
        <v>10</v>
      </c>
      <c r="F25" s="7">
        <v>7</v>
      </c>
      <c r="G25" s="7">
        <v>10</v>
      </c>
      <c r="H25" s="7">
        <v>7</v>
      </c>
      <c r="I25" s="7">
        <v>8</v>
      </c>
      <c r="J25" s="7">
        <v>7</v>
      </c>
      <c r="K25" s="7" cm="1">
        <f t="array" ref="K25">SUM(B25:J25)</f>
        <v>62</v>
      </c>
    </row>
    <row r="26" ht="15" customHeight="1">
      <c r="A26" t="s" s="4">
        <v>706</v>
      </c>
      <c r="B26" s="7">
        <v>6</v>
      </c>
      <c r="C26" s="7">
        <v>8</v>
      </c>
      <c r="D26" s="7">
        <v>8</v>
      </c>
      <c r="E26" s="7">
        <v>10</v>
      </c>
      <c r="F26" s="7">
        <v>3</v>
      </c>
      <c r="G26" s="7">
        <v>5</v>
      </c>
      <c r="H26" s="7">
        <v>7</v>
      </c>
      <c r="I26" s="7">
        <v>8</v>
      </c>
      <c r="J26" s="7">
        <v>7</v>
      </c>
      <c r="K26" s="7" cm="1">
        <f t="array" ref="K26">SUM(B26:J26)</f>
        <v>62</v>
      </c>
    </row>
    <row r="27" ht="15" customHeight="1">
      <c r="A27" t="s" s="4">
        <v>707</v>
      </c>
      <c r="B27" s="7">
        <v>10</v>
      </c>
      <c r="C27" s="7">
        <v>5</v>
      </c>
      <c r="D27" s="7">
        <v>7</v>
      </c>
      <c r="E27" s="7">
        <v>10</v>
      </c>
      <c r="F27" s="7">
        <v>3</v>
      </c>
      <c r="G27" s="7">
        <v>7</v>
      </c>
      <c r="H27" s="7">
        <v>7</v>
      </c>
      <c r="I27" s="7">
        <v>5</v>
      </c>
      <c r="J27" s="7">
        <v>8</v>
      </c>
      <c r="K27" s="7" cm="1">
        <f t="array" ref="K27">SUM(B27:J27)</f>
        <v>62</v>
      </c>
    </row>
    <row r="28" ht="15" customHeight="1">
      <c r="A28" t="s" s="4">
        <v>708</v>
      </c>
      <c r="B28" s="7">
        <v>7</v>
      </c>
      <c r="C28" s="7">
        <v>8</v>
      </c>
      <c r="D28" s="7">
        <v>8</v>
      </c>
      <c r="E28" s="7">
        <v>9</v>
      </c>
      <c r="F28" s="7">
        <v>6</v>
      </c>
      <c r="G28" s="7">
        <v>7</v>
      </c>
      <c r="H28" s="7">
        <v>6</v>
      </c>
      <c r="I28" s="7">
        <v>3</v>
      </c>
      <c r="J28" s="7">
        <v>7</v>
      </c>
      <c r="K28" s="7" cm="1">
        <f t="array" ref="K28">SUM(B28:J28)</f>
        <v>61</v>
      </c>
    </row>
    <row r="29" ht="15" customHeight="1">
      <c r="A29" t="s" s="4">
        <v>709</v>
      </c>
      <c r="B29" s="7">
        <v>6</v>
      </c>
      <c r="C29" s="7">
        <v>5</v>
      </c>
      <c r="D29" s="7">
        <v>7</v>
      </c>
      <c r="E29" s="7">
        <v>5</v>
      </c>
      <c r="F29" s="7">
        <v>5</v>
      </c>
      <c r="G29" s="7">
        <v>9</v>
      </c>
      <c r="H29" s="7">
        <v>8</v>
      </c>
      <c r="I29" s="7">
        <v>8</v>
      </c>
      <c r="J29" s="7">
        <v>8</v>
      </c>
      <c r="K29" s="7" cm="1">
        <f t="array" ref="K29">SUM(B29:J29)</f>
        <v>61</v>
      </c>
    </row>
    <row r="30" ht="15" customHeight="1">
      <c r="A30" t="s" s="4">
        <v>710</v>
      </c>
      <c r="B30" s="7">
        <v>9</v>
      </c>
      <c r="C30" s="7">
        <v>6</v>
      </c>
      <c r="D30" s="7">
        <v>10</v>
      </c>
      <c r="E30" s="7">
        <v>7</v>
      </c>
      <c r="F30" s="7">
        <v>4</v>
      </c>
      <c r="G30" s="7">
        <v>6</v>
      </c>
      <c r="H30" s="7">
        <v>6</v>
      </c>
      <c r="I30" s="7">
        <v>6</v>
      </c>
      <c r="J30" s="7">
        <v>7</v>
      </c>
      <c r="K30" s="7" cm="1">
        <f t="array" ref="K30">SUM(B30:J30)</f>
        <v>61</v>
      </c>
    </row>
    <row r="31" ht="15" customHeight="1">
      <c r="A31" t="s" s="4">
        <v>711</v>
      </c>
      <c r="B31" s="7">
        <v>10</v>
      </c>
      <c r="C31" s="7">
        <v>7</v>
      </c>
      <c r="D31" s="7">
        <v>8</v>
      </c>
      <c r="E31" s="7">
        <v>8</v>
      </c>
      <c r="F31" s="7">
        <v>5</v>
      </c>
      <c r="G31" s="7">
        <v>4</v>
      </c>
      <c r="H31" s="7">
        <v>6</v>
      </c>
      <c r="I31" s="7">
        <v>6</v>
      </c>
      <c r="J31" s="7">
        <v>7</v>
      </c>
      <c r="K31" s="7" cm="1">
        <f t="array" ref="K31">SUM(B31:J31)</f>
        <v>61</v>
      </c>
    </row>
    <row r="32" ht="15" customHeight="1">
      <c r="A32" t="s" s="4">
        <v>712</v>
      </c>
      <c r="B32" s="7">
        <v>6</v>
      </c>
      <c r="C32" s="7">
        <v>5</v>
      </c>
      <c r="D32" s="7">
        <v>10</v>
      </c>
      <c r="E32" s="7">
        <v>7</v>
      </c>
      <c r="F32" s="7">
        <v>6</v>
      </c>
      <c r="G32" s="7">
        <v>6</v>
      </c>
      <c r="H32" s="7">
        <v>6</v>
      </c>
      <c r="I32" s="7">
        <v>7</v>
      </c>
      <c r="J32" s="7">
        <v>8</v>
      </c>
      <c r="K32" s="7" cm="1">
        <f t="array" ref="K32">SUM(B32:J32)</f>
        <v>61</v>
      </c>
    </row>
    <row r="33" ht="15" customHeight="1">
      <c r="A33" t="s" s="4">
        <v>713</v>
      </c>
      <c r="B33" s="7">
        <v>8</v>
      </c>
      <c r="C33" s="7">
        <v>7</v>
      </c>
      <c r="D33" s="7">
        <v>9</v>
      </c>
      <c r="E33" s="7">
        <v>6</v>
      </c>
      <c r="F33" s="7">
        <v>5</v>
      </c>
      <c r="G33" s="7">
        <v>5</v>
      </c>
      <c r="H33" s="7">
        <v>7</v>
      </c>
      <c r="I33" s="7">
        <v>6</v>
      </c>
      <c r="J33" s="7">
        <v>8</v>
      </c>
      <c r="K33" s="7" cm="1">
        <f t="array" ref="K33">SUM(B33:J33)</f>
        <v>61</v>
      </c>
    </row>
    <row r="34" ht="15" customHeight="1">
      <c r="A34" t="s" s="4">
        <v>714</v>
      </c>
      <c r="B34" s="7">
        <v>6</v>
      </c>
      <c r="C34" s="7">
        <v>8</v>
      </c>
      <c r="D34" s="7">
        <v>9</v>
      </c>
      <c r="E34" s="7">
        <v>6</v>
      </c>
      <c r="F34" s="7">
        <v>6</v>
      </c>
      <c r="G34" s="7">
        <v>6</v>
      </c>
      <c r="H34" s="7">
        <v>6</v>
      </c>
      <c r="I34" s="7">
        <v>6</v>
      </c>
      <c r="J34" s="7">
        <v>7</v>
      </c>
      <c r="K34" s="7" cm="1">
        <f t="array" ref="K34">SUM(B34:J34)</f>
        <v>60</v>
      </c>
    </row>
    <row r="35" ht="15" customHeight="1">
      <c r="A35" t="s" s="4">
        <v>715</v>
      </c>
      <c r="B35" s="7">
        <v>9</v>
      </c>
      <c r="C35" s="7">
        <v>3</v>
      </c>
      <c r="D35" s="7">
        <v>9</v>
      </c>
      <c r="E35" s="7">
        <v>6</v>
      </c>
      <c r="F35" s="7">
        <v>9</v>
      </c>
      <c r="G35" s="7">
        <v>5</v>
      </c>
      <c r="H35" s="7">
        <v>6</v>
      </c>
      <c r="I35" s="7">
        <v>5</v>
      </c>
      <c r="J35" s="7">
        <v>8</v>
      </c>
      <c r="K35" s="7" cm="1">
        <f t="array" ref="K35">SUM(B35:J35)</f>
        <v>60</v>
      </c>
    </row>
    <row r="36" ht="15" customHeight="1">
      <c r="A36" t="s" s="4">
        <v>716</v>
      </c>
      <c r="B36" s="7">
        <v>7</v>
      </c>
      <c r="C36" s="7">
        <v>7</v>
      </c>
      <c r="D36" s="7">
        <v>7</v>
      </c>
      <c r="E36" s="7">
        <v>9</v>
      </c>
      <c r="F36" s="7">
        <v>4</v>
      </c>
      <c r="G36" s="7">
        <v>7</v>
      </c>
      <c r="H36" s="7">
        <v>6</v>
      </c>
      <c r="I36" s="7">
        <v>6</v>
      </c>
      <c r="J36" s="7">
        <v>7</v>
      </c>
      <c r="K36" s="7" cm="1">
        <f t="array" ref="K36">SUM(B36:J36)</f>
        <v>60</v>
      </c>
    </row>
    <row r="37" ht="15" customHeight="1">
      <c r="A37" t="s" s="4">
        <v>717</v>
      </c>
      <c r="B37" s="7">
        <v>7</v>
      </c>
      <c r="C37" s="7">
        <v>8</v>
      </c>
      <c r="D37" s="7">
        <v>8</v>
      </c>
      <c r="E37" s="7">
        <v>6</v>
      </c>
      <c r="F37" s="7">
        <v>5</v>
      </c>
      <c r="G37" s="7">
        <v>5</v>
      </c>
      <c r="H37" s="7">
        <v>7</v>
      </c>
      <c r="I37" s="7">
        <v>7</v>
      </c>
      <c r="J37" s="7">
        <v>7</v>
      </c>
      <c r="K37" s="7" cm="1">
        <f t="array" ref="K37">SUM(B37:J37)</f>
        <v>60</v>
      </c>
    </row>
    <row r="38" ht="15" customHeight="1">
      <c r="A38" t="s" s="4">
        <v>718</v>
      </c>
      <c r="B38" s="7">
        <v>4</v>
      </c>
      <c r="C38" s="7">
        <v>9</v>
      </c>
      <c r="D38" s="7">
        <v>6</v>
      </c>
      <c r="E38" s="7">
        <v>10</v>
      </c>
      <c r="F38" s="7">
        <v>3</v>
      </c>
      <c r="G38" s="7">
        <v>8</v>
      </c>
      <c r="H38" s="7">
        <v>6</v>
      </c>
      <c r="I38" s="7">
        <v>8</v>
      </c>
      <c r="J38" s="7">
        <v>6</v>
      </c>
      <c r="K38" s="7" cm="1">
        <f t="array" ref="K38">SUM(B38:J38)</f>
        <v>60</v>
      </c>
    </row>
    <row r="39" ht="15" customHeight="1">
      <c r="A39" t="s" s="4">
        <v>719</v>
      </c>
      <c r="B39" s="7">
        <v>5</v>
      </c>
      <c r="C39" s="7">
        <v>8</v>
      </c>
      <c r="D39" s="7">
        <v>7</v>
      </c>
      <c r="E39" s="7">
        <v>5</v>
      </c>
      <c r="F39" s="7">
        <v>6</v>
      </c>
      <c r="G39" s="7">
        <v>8</v>
      </c>
      <c r="H39" s="7">
        <v>7</v>
      </c>
      <c r="I39" s="7">
        <v>7</v>
      </c>
      <c r="J39" s="7">
        <v>7</v>
      </c>
      <c r="K39" s="7" cm="1">
        <f t="array" ref="K39">SUM(B39:J39)</f>
        <v>60</v>
      </c>
    </row>
    <row r="40" ht="15" customHeight="1">
      <c r="A40" t="s" s="4">
        <v>720</v>
      </c>
      <c r="B40" s="7">
        <v>6</v>
      </c>
      <c r="C40" s="7">
        <v>8</v>
      </c>
      <c r="D40" s="7">
        <v>8</v>
      </c>
      <c r="E40" s="7">
        <v>6</v>
      </c>
      <c r="F40" s="7">
        <v>7</v>
      </c>
      <c r="G40" s="7">
        <v>7</v>
      </c>
      <c r="H40" s="7">
        <v>6</v>
      </c>
      <c r="I40" s="7">
        <v>4</v>
      </c>
      <c r="J40" s="7">
        <v>7</v>
      </c>
      <c r="K40" s="7" cm="1">
        <f t="array" ref="K40">SUM(B40:J40)</f>
        <v>59</v>
      </c>
    </row>
    <row r="41" ht="15" customHeight="1">
      <c r="A41" t="s" s="4">
        <v>721</v>
      </c>
      <c r="B41" s="7">
        <v>5</v>
      </c>
      <c r="C41" s="7">
        <v>4</v>
      </c>
      <c r="D41" s="7">
        <v>10</v>
      </c>
      <c r="E41" s="7">
        <v>5</v>
      </c>
      <c r="F41" s="7">
        <v>3</v>
      </c>
      <c r="G41" s="7">
        <v>10</v>
      </c>
      <c r="H41" s="7">
        <v>9</v>
      </c>
      <c r="I41" s="7">
        <v>7</v>
      </c>
      <c r="J41" s="7">
        <v>6</v>
      </c>
      <c r="K41" s="7" cm="1">
        <f t="array" ref="K41">SUM(B41:J41)</f>
        <v>59</v>
      </c>
    </row>
    <row r="42" ht="15" customHeight="1">
      <c r="A42" t="s" s="4">
        <v>722</v>
      </c>
      <c r="B42" s="7">
        <v>7</v>
      </c>
      <c r="C42" s="7">
        <v>6</v>
      </c>
      <c r="D42" s="7">
        <v>8</v>
      </c>
      <c r="E42" s="7">
        <v>7</v>
      </c>
      <c r="F42" s="7">
        <v>4</v>
      </c>
      <c r="G42" s="7">
        <v>7</v>
      </c>
      <c r="H42" s="7">
        <v>7</v>
      </c>
      <c r="I42" s="7">
        <v>6</v>
      </c>
      <c r="J42" s="7">
        <v>7</v>
      </c>
      <c r="K42" s="7" cm="1">
        <f t="array" ref="K42">SUM(B42:J42)</f>
        <v>59</v>
      </c>
    </row>
    <row r="43" ht="15" customHeight="1">
      <c r="A43" t="s" s="4">
        <v>723</v>
      </c>
      <c r="B43" s="7">
        <v>8</v>
      </c>
      <c r="C43" s="7">
        <v>3</v>
      </c>
      <c r="D43" s="7">
        <v>9</v>
      </c>
      <c r="E43" s="7">
        <v>4</v>
      </c>
      <c r="F43" s="7">
        <v>9</v>
      </c>
      <c r="G43" s="7">
        <v>7</v>
      </c>
      <c r="H43" s="7">
        <v>6</v>
      </c>
      <c r="I43" s="7">
        <v>4</v>
      </c>
      <c r="J43" s="7">
        <v>9</v>
      </c>
      <c r="K43" s="7" cm="1">
        <f t="array" ref="K43">SUM(B43:J43)</f>
        <v>59</v>
      </c>
    </row>
    <row r="44" ht="15" customHeight="1">
      <c r="A44" t="s" s="4">
        <v>724</v>
      </c>
      <c r="B44" s="7">
        <v>7</v>
      </c>
      <c r="C44" s="7">
        <v>5</v>
      </c>
      <c r="D44" s="7">
        <v>8</v>
      </c>
      <c r="E44" s="7">
        <v>8</v>
      </c>
      <c r="F44" s="7">
        <v>6</v>
      </c>
      <c r="G44" s="7">
        <v>6</v>
      </c>
      <c r="H44" s="7">
        <v>5</v>
      </c>
      <c r="I44" s="7">
        <v>7</v>
      </c>
      <c r="J44" s="7">
        <v>7</v>
      </c>
      <c r="K44" s="7" cm="1">
        <f t="array" ref="K44">SUM(B44:J44)</f>
        <v>59</v>
      </c>
    </row>
    <row r="45" ht="15" customHeight="1">
      <c r="A45" t="s" s="4">
        <v>725</v>
      </c>
      <c r="B45" s="7">
        <v>4</v>
      </c>
      <c r="C45" s="7">
        <v>7</v>
      </c>
      <c r="D45" s="7">
        <v>5</v>
      </c>
      <c r="E45" s="7">
        <v>7</v>
      </c>
      <c r="F45" s="7">
        <v>5</v>
      </c>
      <c r="G45" s="7">
        <v>8</v>
      </c>
      <c r="H45" s="7">
        <v>7</v>
      </c>
      <c r="I45" s="7">
        <v>8</v>
      </c>
      <c r="J45" s="7">
        <v>8</v>
      </c>
      <c r="K45" s="7" cm="1">
        <f t="array" ref="K45">SUM(B45:J45)</f>
        <v>59</v>
      </c>
    </row>
    <row r="46" ht="15" customHeight="1">
      <c r="A46" t="s" s="4">
        <v>726</v>
      </c>
      <c r="B46" s="7">
        <v>8</v>
      </c>
      <c r="C46" s="7">
        <v>1</v>
      </c>
      <c r="D46" s="7">
        <v>7</v>
      </c>
      <c r="E46" s="7">
        <v>4</v>
      </c>
      <c r="F46" s="7">
        <v>6</v>
      </c>
      <c r="G46" s="7">
        <v>10</v>
      </c>
      <c r="H46" s="7">
        <v>9</v>
      </c>
      <c r="I46" s="7">
        <v>7</v>
      </c>
      <c r="J46" s="7">
        <v>7</v>
      </c>
      <c r="K46" s="7" cm="1">
        <f t="array" ref="K46">SUM(B47:J47)</f>
        <v>59</v>
      </c>
    </row>
    <row r="47" ht="15" customHeight="1">
      <c r="A47" t="s" s="4">
        <v>727</v>
      </c>
      <c r="B47" s="7">
        <v>6</v>
      </c>
      <c r="C47" s="7">
        <v>1</v>
      </c>
      <c r="D47" s="7">
        <v>6</v>
      </c>
      <c r="E47" s="7">
        <v>5</v>
      </c>
      <c r="F47" s="7">
        <v>7</v>
      </c>
      <c r="G47" s="7">
        <v>10</v>
      </c>
      <c r="H47" s="7">
        <v>8</v>
      </c>
      <c r="I47" s="7">
        <v>9</v>
      </c>
      <c r="J47" s="7">
        <v>7</v>
      </c>
      <c r="K47" s="7" cm="1">
        <f t="array" ref="K47">SUM(B48:J48)</f>
        <v>59</v>
      </c>
    </row>
    <row r="48" ht="15" customHeight="1">
      <c r="A48" t="s" s="4">
        <v>728</v>
      </c>
      <c r="B48" s="7">
        <v>8</v>
      </c>
      <c r="C48" s="7">
        <v>7</v>
      </c>
      <c r="D48" s="7">
        <v>9</v>
      </c>
      <c r="E48" s="7">
        <v>9</v>
      </c>
      <c r="F48" s="7">
        <v>5</v>
      </c>
      <c r="G48" s="7">
        <v>3</v>
      </c>
      <c r="H48" s="7">
        <v>4</v>
      </c>
      <c r="I48" s="7">
        <v>7</v>
      </c>
      <c r="J48" s="7">
        <v>7</v>
      </c>
      <c r="K48" s="7" cm="1">
        <f t="array" ref="K48">SUM(B49:J49)</f>
        <v>58</v>
      </c>
    </row>
    <row r="49" ht="15" customHeight="1">
      <c r="A49" t="s" s="4">
        <v>729</v>
      </c>
      <c r="B49" s="7">
        <v>5</v>
      </c>
      <c r="C49" s="7">
        <v>5</v>
      </c>
      <c r="D49" s="7">
        <v>5</v>
      </c>
      <c r="E49" s="7">
        <v>6</v>
      </c>
      <c r="F49" s="7">
        <v>7</v>
      </c>
      <c r="G49" s="7">
        <v>10</v>
      </c>
      <c r="H49" s="7">
        <v>6</v>
      </c>
      <c r="I49" s="7">
        <v>5</v>
      </c>
      <c r="J49" s="7">
        <v>9</v>
      </c>
      <c r="K49" s="7" cm="1">
        <f t="array" ref="K49">SUM(B50:J50)</f>
        <v>58</v>
      </c>
    </row>
    <row r="50" ht="15" customHeight="1">
      <c r="A50" t="s" s="4">
        <v>730</v>
      </c>
      <c r="B50" s="7">
        <v>6</v>
      </c>
      <c r="C50" s="7">
        <v>5</v>
      </c>
      <c r="D50" s="7">
        <v>8</v>
      </c>
      <c r="E50" s="7">
        <v>7</v>
      </c>
      <c r="F50" s="7">
        <v>4</v>
      </c>
      <c r="G50" s="7">
        <v>9</v>
      </c>
      <c r="H50" s="7">
        <v>7</v>
      </c>
      <c r="I50" s="7">
        <v>4</v>
      </c>
      <c r="J50" s="7">
        <v>8</v>
      </c>
      <c r="K50" s="7" cm="1">
        <f t="array" ref="K50">SUM(B51:J51)</f>
        <v>58</v>
      </c>
    </row>
    <row r="51" ht="15" customHeight="1">
      <c r="A51" t="s" s="4">
        <v>731</v>
      </c>
      <c r="B51" s="7">
        <v>6</v>
      </c>
      <c r="C51" s="7">
        <v>6</v>
      </c>
      <c r="D51" s="7">
        <v>8</v>
      </c>
      <c r="E51" s="7">
        <v>5</v>
      </c>
      <c r="F51" s="7">
        <v>5</v>
      </c>
      <c r="G51" s="7">
        <v>7</v>
      </c>
      <c r="H51" s="7">
        <v>7</v>
      </c>
      <c r="I51" s="7">
        <v>6</v>
      </c>
      <c r="J51" s="7">
        <v>8</v>
      </c>
      <c r="K51" s="7" cm="1">
        <f t="array" ref="K51">SUM(B52:J52)</f>
        <v>58</v>
      </c>
    </row>
    <row r="52" ht="15" customHeight="1">
      <c r="A52" t="s" s="4">
        <v>732</v>
      </c>
      <c r="B52" s="7">
        <v>7</v>
      </c>
      <c r="C52" s="7">
        <v>4</v>
      </c>
      <c r="D52" s="7">
        <v>7</v>
      </c>
      <c r="E52" s="7">
        <v>6</v>
      </c>
      <c r="F52" s="7">
        <v>4</v>
      </c>
      <c r="G52" s="7">
        <v>8</v>
      </c>
      <c r="H52" s="7">
        <v>7</v>
      </c>
      <c r="I52" s="7">
        <v>8</v>
      </c>
      <c r="J52" s="7">
        <v>7</v>
      </c>
      <c r="K52" s="7" cm="1">
        <f t="array" ref="K52">SUM(B53:J53)</f>
        <v>58</v>
      </c>
    </row>
    <row r="53" ht="15" customHeight="1">
      <c r="A53" t="s" s="4">
        <v>733</v>
      </c>
      <c r="B53" s="7">
        <v>5</v>
      </c>
      <c r="C53" s="7">
        <v>2</v>
      </c>
      <c r="D53" s="7">
        <v>6</v>
      </c>
      <c r="E53" s="7">
        <v>9</v>
      </c>
      <c r="F53" s="7">
        <v>7</v>
      </c>
      <c r="G53" s="7">
        <v>8</v>
      </c>
      <c r="H53" s="7">
        <v>6</v>
      </c>
      <c r="I53" s="7">
        <v>7</v>
      </c>
      <c r="J53" s="7">
        <v>8</v>
      </c>
      <c r="K53" s="7" cm="1">
        <f t="array" ref="K53">SUM(B54:J54)</f>
        <v>58</v>
      </c>
    </row>
    <row r="54" ht="15" customHeight="1">
      <c r="A54" t="s" s="4">
        <v>734</v>
      </c>
      <c r="B54" s="7">
        <v>4</v>
      </c>
      <c r="C54" s="7">
        <v>4</v>
      </c>
      <c r="D54" s="7">
        <v>9</v>
      </c>
      <c r="E54" s="7">
        <v>6</v>
      </c>
      <c r="F54" s="7">
        <v>7</v>
      </c>
      <c r="G54" s="7">
        <v>8</v>
      </c>
      <c r="H54" s="7">
        <v>5</v>
      </c>
      <c r="I54" s="7">
        <v>7</v>
      </c>
      <c r="J54" s="7">
        <v>8</v>
      </c>
      <c r="K54" s="7" cm="1">
        <f t="array" ref="K54">SUM(B55:J55)</f>
        <v>58</v>
      </c>
    </row>
    <row r="55" ht="15" customHeight="1">
      <c r="A55" t="s" s="4">
        <v>735</v>
      </c>
      <c r="B55" s="7">
        <v>6</v>
      </c>
      <c r="C55" s="7">
        <v>5</v>
      </c>
      <c r="D55" s="7">
        <v>6</v>
      </c>
      <c r="E55" s="7">
        <v>7</v>
      </c>
      <c r="F55" s="7">
        <v>5</v>
      </c>
      <c r="G55" s="7">
        <v>8</v>
      </c>
      <c r="H55" s="7">
        <v>7</v>
      </c>
      <c r="I55" s="7">
        <v>7</v>
      </c>
      <c r="J55" s="7">
        <v>7</v>
      </c>
      <c r="K55" s="7" cm="1">
        <f t="array" ref="K55">SUM(B56:J56)</f>
        <v>57</v>
      </c>
    </row>
    <row r="56" ht="15" customHeight="1">
      <c r="A56" t="s" s="4">
        <v>736</v>
      </c>
      <c r="B56" s="7">
        <v>8</v>
      </c>
      <c r="C56" s="7">
        <v>4</v>
      </c>
      <c r="D56" s="7">
        <v>8</v>
      </c>
      <c r="E56" s="7">
        <v>9</v>
      </c>
      <c r="F56" s="7">
        <v>6</v>
      </c>
      <c r="G56" s="7">
        <v>5</v>
      </c>
      <c r="H56" s="7">
        <v>5</v>
      </c>
      <c r="I56" s="7">
        <v>6</v>
      </c>
      <c r="J56" s="7">
        <v>6</v>
      </c>
      <c r="K56" s="7" cm="1">
        <f t="array" ref="K56">SUM(B57:J57)</f>
        <v>57</v>
      </c>
    </row>
    <row r="57" ht="15" customHeight="1">
      <c r="A57" t="s" s="4">
        <v>737</v>
      </c>
      <c r="B57" s="7">
        <v>8</v>
      </c>
      <c r="C57" s="7">
        <v>3</v>
      </c>
      <c r="D57" s="7">
        <v>7</v>
      </c>
      <c r="E57" s="7">
        <v>4</v>
      </c>
      <c r="F57" s="7">
        <v>8</v>
      </c>
      <c r="G57" s="7">
        <v>7</v>
      </c>
      <c r="H57" s="7">
        <v>6</v>
      </c>
      <c r="I57" s="7">
        <v>6</v>
      </c>
      <c r="J57" s="7">
        <v>8</v>
      </c>
      <c r="K57" s="7" cm="1">
        <f t="array" ref="K57">SUM(B58:J58)</f>
        <v>57</v>
      </c>
    </row>
    <row r="58" ht="15" customHeight="1">
      <c r="A58" t="s" s="4">
        <v>738</v>
      </c>
      <c r="B58" s="7">
        <v>7</v>
      </c>
      <c r="C58" s="7">
        <v>1</v>
      </c>
      <c r="D58" s="7">
        <v>7</v>
      </c>
      <c r="E58" s="7">
        <v>2</v>
      </c>
      <c r="F58" s="7">
        <v>8</v>
      </c>
      <c r="G58" s="7">
        <v>9</v>
      </c>
      <c r="H58" s="7">
        <v>7</v>
      </c>
      <c r="I58" s="7">
        <v>7</v>
      </c>
      <c r="J58" s="7">
        <v>9</v>
      </c>
      <c r="K58" s="7" cm="1">
        <f t="array" ref="K58">SUM(B59:J59)</f>
        <v>57</v>
      </c>
    </row>
    <row r="59" ht="15" customHeight="1">
      <c r="A59" t="s" s="4">
        <v>739</v>
      </c>
      <c r="B59" s="7">
        <v>6</v>
      </c>
      <c r="C59" s="7">
        <v>4</v>
      </c>
      <c r="D59" s="7">
        <v>5</v>
      </c>
      <c r="E59" s="7">
        <v>8</v>
      </c>
      <c r="F59" s="7">
        <v>6</v>
      </c>
      <c r="G59" s="7">
        <v>9</v>
      </c>
      <c r="H59" s="7">
        <v>5</v>
      </c>
      <c r="I59" s="7">
        <v>8</v>
      </c>
      <c r="J59" s="7">
        <v>6</v>
      </c>
      <c r="K59" s="7" cm="1">
        <f t="array" ref="K59">SUM(B60:J60)</f>
        <v>57</v>
      </c>
    </row>
    <row r="60" ht="15" customHeight="1">
      <c r="A60" t="s" s="4">
        <v>740</v>
      </c>
      <c r="B60" s="7">
        <v>5</v>
      </c>
      <c r="C60" s="7">
        <v>7</v>
      </c>
      <c r="D60" s="7">
        <v>7</v>
      </c>
      <c r="E60" s="7">
        <v>6</v>
      </c>
      <c r="F60" s="7">
        <v>6</v>
      </c>
      <c r="G60" s="7">
        <v>6</v>
      </c>
      <c r="H60" s="7">
        <v>6</v>
      </c>
      <c r="I60" s="7">
        <v>6</v>
      </c>
      <c r="J60" s="7">
        <v>8</v>
      </c>
      <c r="K60" s="7" cm="1">
        <f t="array" ref="K60">SUM(B61:J61)</f>
        <v>56</v>
      </c>
    </row>
    <row r="61" ht="15" customHeight="1">
      <c r="A61" t="s" s="4">
        <v>741</v>
      </c>
      <c r="B61" s="7">
        <v>7</v>
      </c>
      <c r="C61" s="7">
        <v>3</v>
      </c>
      <c r="D61" s="7">
        <v>6</v>
      </c>
      <c r="E61" s="7">
        <v>5</v>
      </c>
      <c r="F61" s="7">
        <v>5</v>
      </c>
      <c r="G61" s="7">
        <v>9</v>
      </c>
      <c r="H61" s="7">
        <v>7</v>
      </c>
      <c r="I61" s="7">
        <v>7</v>
      </c>
      <c r="J61" s="7">
        <v>7</v>
      </c>
      <c r="K61" s="7" cm="1">
        <f t="array" ref="K61">SUM(B62:J62)</f>
        <v>56</v>
      </c>
    </row>
    <row r="62" ht="15" customHeight="1">
      <c r="A62" t="s" s="4">
        <v>742</v>
      </c>
      <c r="B62" s="7">
        <v>6</v>
      </c>
      <c r="C62" s="7">
        <v>8</v>
      </c>
      <c r="D62" s="7">
        <v>6</v>
      </c>
      <c r="E62" s="7">
        <v>5</v>
      </c>
      <c r="F62" s="7">
        <v>5</v>
      </c>
      <c r="G62" s="7">
        <v>7</v>
      </c>
      <c r="H62" s="7">
        <v>6</v>
      </c>
      <c r="I62" s="7">
        <v>7</v>
      </c>
      <c r="J62" s="7">
        <v>6</v>
      </c>
      <c r="K62" s="7" cm="1">
        <f t="array" ref="K62">SUM(B63:J63)</f>
        <v>56</v>
      </c>
    </row>
    <row r="63" ht="15" customHeight="1">
      <c r="A63" t="s" s="4">
        <v>743</v>
      </c>
      <c r="B63" s="7">
        <v>8</v>
      </c>
      <c r="C63" s="7">
        <v>8</v>
      </c>
      <c r="D63" s="7">
        <v>8</v>
      </c>
      <c r="E63" s="7">
        <v>6</v>
      </c>
      <c r="F63" s="7">
        <v>5</v>
      </c>
      <c r="G63" s="7">
        <v>4</v>
      </c>
      <c r="H63" s="7">
        <v>5</v>
      </c>
      <c r="I63" s="7">
        <v>5</v>
      </c>
      <c r="J63" s="7">
        <v>7</v>
      </c>
      <c r="K63" s="7" cm="1">
        <f t="array" ref="K63">SUM(B64:J64)</f>
        <v>56</v>
      </c>
    </row>
    <row r="64" ht="15" customHeight="1">
      <c r="A64" t="s" s="4">
        <v>744</v>
      </c>
      <c r="B64" s="7">
        <v>5</v>
      </c>
      <c r="C64" s="7">
        <v>2</v>
      </c>
      <c r="D64" s="7">
        <v>5</v>
      </c>
      <c r="E64" s="7">
        <v>7</v>
      </c>
      <c r="F64" s="7">
        <v>6</v>
      </c>
      <c r="G64" s="7">
        <v>10</v>
      </c>
      <c r="H64" s="7">
        <v>5</v>
      </c>
      <c r="I64" s="7">
        <v>9</v>
      </c>
      <c r="J64" s="7">
        <v>7</v>
      </c>
      <c r="K64" s="7" cm="1">
        <f t="array" ref="K64">SUM(B65:J65)</f>
        <v>55</v>
      </c>
    </row>
    <row r="65" ht="15" customHeight="1">
      <c r="A65" t="s" s="4">
        <v>745</v>
      </c>
      <c r="B65" s="7">
        <v>5</v>
      </c>
      <c r="C65" s="7">
        <v>7</v>
      </c>
      <c r="D65" s="7">
        <v>6</v>
      </c>
      <c r="E65" s="7">
        <v>7</v>
      </c>
      <c r="F65" s="7">
        <v>7</v>
      </c>
      <c r="G65" s="7">
        <v>6</v>
      </c>
      <c r="H65" s="7">
        <v>5</v>
      </c>
      <c r="I65" s="7">
        <v>4</v>
      </c>
      <c r="J65" s="7">
        <v>8</v>
      </c>
      <c r="K65" s="7" cm="1">
        <f t="array" ref="K65">SUM(B66:J66)</f>
        <v>55</v>
      </c>
    </row>
    <row r="66" ht="15" customHeight="1">
      <c r="A66" t="s" s="4">
        <v>746</v>
      </c>
      <c r="B66" s="7">
        <v>5</v>
      </c>
      <c r="C66" s="7">
        <v>6</v>
      </c>
      <c r="D66" s="7">
        <v>7</v>
      </c>
      <c r="E66" s="7">
        <v>5</v>
      </c>
      <c r="F66" s="7">
        <v>6</v>
      </c>
      <c r="G66" s="7">
        <v>7</v>
      </c>
      <c r="H66" s="7">
        <v>6</v>
      </c>
      <c r="I66" s="7">
        <v>3</v>
      </c>
      <c r="J66" s="7">
        <v>10</v>
      </c>
      <c r="K66" s="7" cm="1">
        <f t="array" ref="K66">SUM(B67:J67)</f>
        <v>55</v>
      </c>
    </row>
    <row r="67" ht="15" customHeight="1">
      <c r="A67" t="s" s="4">
        <v>747</v>
      </c>
      <c r="B67" s="7">
        <v>5</v>
      </c>
      <c r="C67" s="7">
        <v>9</v>
      </c>
      <c r="D67" s="7">
        <v>3</v>
      </c>
      <c r="E67" s="7">
        <v>8</v>
      </c>
      <c r="F67" s="7">
        <v>4</v>
      </c>
      <c r="G67" s="7">
        <v>8</v>
      </c>
      <c r="H67" s="7">
        <v>6</v>
      </c>
      <c r="I67" s="7">
        <v>6</v>
      </c>
      <c r="J67" s="7">
        <v>6</v>
      </c>
      <c r="K67" s="7" cm="1">
        <f t="array" ref="K67">SUM(B68:J68)</f>
        <v>55</v>
      </c>
    </row>
    <row r="68" ht="15" customHeight="1">
      <c r="A68" t="s" s="4">
        <v>748</v>
      </c>
      <c r="B68" s="7">
        <v>3</v>
      </c>
      <c r="C68" s="7">
        <v>4</v>
      </c>
      <c r="D68" s="7">
        <v>5</v>
      </c>
      <c r="E68" s="7">
        <v>8</v>
      </c>
      <c r="F68" s="7">
        <v>6</v>
      </c>
      <c r="G68" s="7">
        <v>8</v>
      </c>
      <c r="H68" s="7">
        <v>7</v>
      </c>
      <c r="I68" s="7">
        <v>7</v>
      </c>
      <c r="J68" s="7">
        <v>7</v>
      </c>
      <c r="K68" s="7" cm="1">
        <f t="array" ref="K68">SUM(B69:J69)</f>
        <v>55</v>
      </c>
    </row>
    <row r="69" ht="15" customHeight="1">
      <c r="A69" t="s" s="4">
        <v>749</v>
      </c>
      <c r="B69" s="7">
        <v>8</v>
      </c>
      <c r="C69" s="7">
        <v>6</v>
      </c>
      <c r="D69" s="7">
        <v>8</v>
      </c>
      <c r="E69" s="7">
        <v>6</v>
      </c>
      <c r="F69" s="7">
        <v>5</v>
      </c>
      <c r="G69" s="7">
        <v>3</v>
      </c>
      <c r="H69" s="7">
        <v>5</v>
      </c>
      <c r="I69" s="7">
        <v>7</v>
      </c>
      <c r="J69" s="7">
        <v>7</v>
      </c>
      <c r="K69" s="7" cm="1">
        <f t="array" ref="K69">SUM(B70:J70)</f>
        <v>54</v>
      </c>
    </row>
    <row r="70" ht="15" customHeight="1">
      <c r="A70" t="s" s="4">
        <v>750</v>
      </c>
      <c r="B70" s="7">
        <v>6</v>
      </c>
      <c r="C70" s="7">
        <v>4</v>
      </c>
      <c r="D70" s="7">
        <v>7</v>
      </c>
      <c r="E70" s="7">
        <v>7</v>
      </c>
      <c r="F70" s="7">
        <v>4</v>
      </c>
      <c r="G70" s="7">
        <v>6</v>
      </c>
      <c r="H70" s="7">
        <v>8</v>
      </c>
      <c r="I70" s="7">
        <v>5</v>
      </c>
      <c r="J70" s="7">
        <v>7</v>
      </c>
      <c r="K70" s="7" cm="1">
        <f t="array" ref="K70">SUM(B71:J71)</f>
        <v>54</v>
      </c>
    </row>
    <row r="71" ht="15" customHeight="1">
      <c r="A71" t="s" s="4">
        <v>751</v>
      </c>
      <c r="B71" s="7">
        <v>4</v>
      </c>
      <c r="C71" s="7">
        <v>5</v>
      </c>
      <c r="D71" s="7">
        <v>6</v>
      </c>
      <c r="E71" s="7">
        <v>7</v>
      </c>
      <c r="F71" s="7">
        <v>7</v>
      </c>
      <c r="G71" s="7">
        <v>6</v>
      </c>
      <c r="H71" s="7">
        <v>5</v>
      </c>
      <c r="I71" s="7">
        <v>7</v>
      </c>
      <c r="J71" s="7">
        <v>7</v>
      </c>
      <c r="K71" s="7" cm="1">
        <f t="array" ref="K71">SUM(B72:J72)</f>
        <v>54</v>
      </c>
    </row>
    <row r="72" ht="15" customHeight="1">
      <c r="A72" t="s" s="4">
        <v>752</v>
      </c>
      <c r="B72" s="7">
        <v>6</v>
      </c>
      <c r="C72" s="7">
        <v>3</v>
      </c>
      <c r="D72" s="7">
        <v>6</v>
      </c>
      <c r="E72" s="7">
        <v>2</v>
      </c>
      <c r="F72" s="7">
        <v>8</v>
      </c>
      <c r="G72" s="7">
        <v>7</v>
      </c>
      <c r="H72" s="7">
        <v>6</v>
      </c>
      <c r="I72" s="7">
        <v>8</v>
      </c>
      <c r="J72" s="7">
        <v>8</v>
      </c>
      <c r="K72" s="7" cm="1">
        <f t="array" ref="K72">SUM(B73:J73)</f>
        <v>54</v>
      </c>
    </row>
    <row r="73" ht="15" customHeight="1">
      <c r="A73" t="s" s="4">
        <v>753</v>
      </c>
      <c r="B73" s="7">
        <v>8</v>
      </c>
      <c r="C73" s="7">
        <v>4</v>
      </c>
      <c r="D73" s="7">
        <v>8</v>
      </c>
      <c r="E73" s="7">
        <v>4</v>
      </c>
      <c r="F73" s="7">
        <v>7</v>
      </c>
      <c r="G73" s="7">
        <v>5</v>
      </c>
      <c r="H73" s="7">
        <v>6</v>
      </c>
      <c r="I73" s="7">
        <v>5</v>
      </c>
      <c r="J73" s="7">
        <v>7</v>
      </c>
      <c r="K73" s="7" cm="1">
        <f t="array" ref="K73">SUM(B74:J74)</f>
        <v>54</v>
      </c>
    </row>
    <row r="74" ht="15" customHeight="1">
      <c r="A74" t="s" s="4">
        <v>754</v>
      </c>
      <c r="B74" s="7">
        <v>6</v>
      </c>
      <c r="C74" s="7">
        <v>1</v>
      </c>
      <c r="D74" s="7">
        <v>6</v>
      </c>
      <c r="E74" s="7">
        <v>2</v>
      </c>
      <c r="F74" s="7">
        <v>8</v>
      </c>
      <c r="G74" s="7">
        <v>8</v>
      </c>
      <c r="H74" s="7">
        <v>6</v>
      </c>
      <c r="I74" s="7">
        <v>9</v>
      </c>
      <c r="J74" s="7">
        <v>8</v>
      </c>
      <c r="K74" s="7" cm="1">
        <f t="array" ref="K74">SUM(B75:J75)</f>
        <v>54</v>
      </c>
    </row>
    <row r="75" ht="15" customHeight="1">
      <c r="A75" t="s" s="4">
        <v>755</v>
      </c>
      <c r="B75" s="7">
        <v>7</v>
      </c>
      <c r="C75" s="7">
        <v>7</v>
      </c>
      <c r="D75" s="7">
        <v>7</v>
      </c>
      <c r="E75" s="7">
        <v>6</v>
      </c>
      <c r="F75" s="7">
        <v>4</v>
      </c>
      <c r="G75" s="7">
        <v>5</v>
      </c>
      <c r="H75" s="7">
        <v>6</v>
      </c>
      <c r="I75" s="7">
        <v>7</v>
      </c>
      <c r="J75" s="7">
        <v>5</v>
      </c>
      <c r="K75" s="7" cm="1">
        <f t="array" ref="K75">SUM(B76:J76)</f>
        <v>53</v>
      </c>
    </row>
    <row r="76" ht="15" customHeight="1">
      <c r="A76" t="s" s="4">
        <v>756</v>
      </c>
      <c r="B76" s="7">
        <v>3</v>
      </c>
      <c r="C76" s="7">
        <v>3</v>
      </c>
      <c r="D76" s="7">
        <v>5</v>
      </c>
      <c r="E76" s="7">
        <v>8</v>
      </c>
      <c r="F76" s="7">
        <v>4</v>
      </c>
      <c r="G76" s="7">
        <v>9</v>
      </c>
      <c r="H76" s="7">
        <v>7</v>
      </c>
      <c r="I76" s="7">
        <v>6</v>
      </c>
      <c r="J76" s="7">
        <v>8</v>
      </c>
      <c r="K76" s="7" cm="1">
        <f t="array" ref="K76">SUM(B77:J77)</f>
        <v>52</v>
      </c>
    </row>
    <row r="77" ht="15" customHeight="1">
      <c r="A77" t="s" s="4">
        <v>757</v>
      </c>
      <c r="B77" s="7">
        <v>5</v>
      </c>
      <c r="C77" s="7">
        <v>2</v>
      </c>
      <c r="D77" s="7">
        <v>5</v>
      </c>
      <c r="E77" s="7">
        <v>5</v>
      </c>
      <c r="F77" s="7">
        <v>5</v>
      </c>
      <c r="G77" s="7">
        <v>9</v>
      </c>
      <c r="H77" s="7">
        <v>6</v>
      </c>
      <c r="I77" s="7">
        <v>8</v>
      </c>
      <c r="J77" s="7">
        <v>7</v>
      </c>
      <c r="K77" s="7" cm="1">
        <f t="array" ref="K77">SUM(B78:J78)</f>
        <v>52</v>
      </c>
    </row>
    <row r="78" ht="15" customHeight="1">
      <c r="A78" t="s" s="4">
        <v>758</v>
      </c>
      <c r="B78" s="7">
        <v>6</v>
      </c>
      <c r="C78" s="7">
        <v>6</v>
      </c>
      <c r="D78" s="7">
        <v>5</v>
      </c>
      <c r="E78" s="7">
        <v>7</v>
      </c>
      <c r="F78" s="7">
        <v>5</v>
      </c>
      <c r="G78" s="7">
        <v>7</v>
      </c>
      <c r="H78" s="7">
        <v>6</v>
      </c>
      <c r="I78" s="7">
        <v>3</v>
      </c>
      <c r="J78" s="7">
        <v>7</v>
      </c>
      <c r="K78" s="7" cm="1">
        <f t="array" ref="K78">SUM(B79:J79)</f>
        <v>52</v>
      </c>
    </row>
    <row r="79" ht="15" customHeight="1">
      <c r="A79" t="s" s="4">
        <v>759</v>
      </c>
      <c r="B79" s="7">
        <v>5</v>
      </c>
      <c r="C79" s="7">
        <v>4</v>
      </c>
      <c r="D79" s="7">
        <v>7</v>
      </c>
      <c r="E79" s="7">
        <v>3</v>
      </c>
      <c r="F79" s="7">
        <v>7</v>
      </c>
      <c r="G79" s="7">
        <v>8</v>
      </c>
      <c r="H79" s="7">
        <v>6</v>
      </c>
      <c r="I79" s="7">
        <v>5</v>
      </c>
      <c r="J79" s="7">
        <v>7</v>
      </c>
      <c r="K79" s="7" cm="1">
        <f t="array" ref="K79">SUM(B80:J80)</f>
        <v>52</v>
      </c>
    </row>
    <row r="80" ht="15" customHeight="1">
      <c r="A80" t="s" s="4">
        <v>760</v>
      </c>
      <c r="B80" s="7">
        <v>4</v>
      </c>
      <c r="C80" s="7">
        <v>9</v>
      </c>
      <c r="D80" s="7">
        <v>6</v>
      </c>
      <c r="E80" s="7">
        <v>7</v>
      </c>
      <c r="F80" s="7">
        <v>5</v>
      </c>
      <c r="G80" s="7">
        <v>4</v>
      </c>
      <c r="H80" s="7">
        <v>4</v>
      </c>
      <c r="I80" s="7">
        <v>6</v>
      </c>
      <c r="J80" s="7">
        <v>7</v>
      </c>
      <c r="K80" s="7" cm="1">
        <f t="array" ref="K80">SUM(B81:J81)</f>
        <v>52</v>
      </c>
    </row>
    <row r="81" ht="15" customHeight="1">
      <c r="A81" t="s" s="4">
        <v>761</v>
      </c>
      <c r="B81" s="7">
        <v>4</v>
      </c>
      <c r="C81" s="7">
        <v>9</v>
      </c>
      <c r="D81" s="7">
        <v>5</v>
      </c>
      <c r="E81" s="7">
        <v>7</v>
      </c>
      <c r="F81" s="7">
        <v>5</v>
      </c>
      <c r="G81" s="7">
        <v>6</v>
      </c>
      <c r="H81" s="7">
        <v>5</v>
      </c>
      <c r="I81" s="7">
        <v>5</v>
      </c>
      <c r="J81" s="7">
        <v>6</v>
      </c>
      <c r="K81" s="7" cm="1">
        <f t="array" ref="K81">SUM(B82:J82)</f>
        <v>51</v>
      </c>
    </row>
    <row r="82" ht="15" customHeight="1">
      <c r="A82" t="s" s="4">
        <v>762</v>
      </c>
      <c r="B82" s="7">
        <v>6</v>
      </c>
      <c r="C82" s="7">
        <v>1</v>
      </c>
      <c r="D82" s="7">
        <v>9</v>
      </c>
      <c r="E82" s="7">
        <v>2</v>
      </c>
      <c r="F82" s="7">
        <v>5</v>
      </c>
      <c r="G82" s="7">
        <v>8</v>
      </c>
      <c r="H82" s="7">
        <v>7</v>
      </c>
      <c r="I82" s="7">
        <v>6</v>
      </c>
      <c r="J82" s="7">
        <v>7</v>
      </c>
      <c r="K82" s="7" cm="1">
        <f t="array" ref="K82">SUM(B83:J83)</f>
        <v>51</v>
      </c>
    </row>
    <row r="83" ht="15" customHeight="1">
      <c r="A83" t="s" s="4">
        <v>763</v>
      </c>
      <c r="B83" s="7">
        <v>3</v>
      </c>
      <c r="C83" s="7">
        <v>3</v>
      </c>
      <c r="D83" s="7">
        <v>4</v>
      </c>
      <c r="E83" s="7">
        <v>8</v>
      </c>
      <c r="F83" s="7">
        <v>6</v>
      </c>
      <c r="G83" s="7">
        <v>10</v>
      </c>
      <c r="H83" s="7">
        <v>5</v>
      </c>
      <c r="I83" s="7">
        <v>5</v>
      </c>
      <c r="J83" s="7">
        <v>7</v>
      </c>
      <c r="K83" s="7" cm="1">
        <f t="array" ref="K83">SUM(B84:J84)</f>
        <v>51</v>
      </c>
    </row>
    <row r="84" ht="15" customHeight="1">
      <c r="A84" t="s" s="4">
        <v>764</v>
      </c>
      <c r="B84" s="7">
        <v>3</v>
      </c>
      <c r="C84" s="7">
        <v>2</v>
      </c>
      <c r="D84" s="7">
        <v>4</v>
      </c>
      <c r="E84" s="7">
        <v>8</v>
      </c>
      <c r="F84" s="7">
        <v>4</v>
      </c>
      <c r="G84" s="7">
        <v>9</v>
      </c>
      <c r="H84" s="7">
        <v>6</v>
      </c>
      <c r="I84" s="7">
        <v>8</v>
      </c>
      <c r="J84" s="7">
        <v>7</v>
      </c>
      <c r="K84" s="7" cm="1">
        <f t="array" ref="K84">SUM(B85:J85)</f>
        <v>50</v>
      </c>
    </row>
    <row r="85" ht="15" customHeight="1">
      <c r="A85" t="s" s="4">
        <v>765</v>
      </c>
      <c r="B85" s="7">
        <v>5</v>
      </c>
      <c r="C85" s="7">
        <v>4</v>
      </c>
      <c r="D85" s="7">
        <v>7</v>
      </c>
      <c r="E85" s="7">
        <v>4</v>
      </c>
      <c r="F85" s="7">
        <v>5</v>
      </c>
      <c r="G85" s="7">
        <v>8</v>
      </c>
      <c r="H85" s="7">
        <v>6</v>
      </c>
      <c r="I85" s="7">
        <v>3</v>
      </c>
      <c r="J85" s="7">
        <v>8</v>
      </c>
      <c r="K85" s="7" cm="1">
        <f t="array" ref="K85">SUM(B86:J86)</f>
        <v>49</v>
      </c>
    </row>
    <row r="86" ht="15" customHeight="1">
      <c r="A86" t="s" s="4">
        <v>766</v>
      </c>
      <c r="B86" s="7">
        <v>6</v>
      </c>
      <c r="C86" s="7">
        <v>3</v>
      </c>
      <c r="D86" s="7">
        <v>4</v>
      </c>
      <c r="E86" s="7">
        <v>2</v>
      </c>
      <c r="F86" s="7">
        <v>5</v>
      </c>
      <c r="G86" s="7">
        <v>8</v>
      </c>
      <c r="H86" s="7">
        <v>9</v>
      </c>
      <c r="I86" s="7">
        <v>4</v>
      </c>
      <c r="J86" s="7">
        <v>8</v>
      </c>
      <c r="K86" s="7" cm="1">
        <f t="array" ref="K86">SUM(B87:J87)</f>
        <v>49</v>
      </c>
    </row>
    <row r="87" ht="15" customHeight="1">
      <c r="A87" t="s" s="4">
        <v>767</v>
      </c>
      <c r="B87" s="7">
        <v>6</v>
      </c>
      <c r="C87" s="7">
        <v>2</v>
      </c>
      <c r="D87" s="7">
        <v>6</v>
      </c>
      <c r="E87" s="7">
        <v>2</v>
      </c>
      <c r="F87" s="7">
        <v>6</v>
      </c>
      <c r="G87" s="7">
        <v>6</v>
      </c>
      <c r="H87" s="7">
        <v>6</v>
      </c>
      <c r="I87" s="7">
        <v>7</v>
      </c>
      <c r="J87" s="7">
        <v>8</v>
      </c>
      <c r="K87" s="7" cm="1">
        <f t="array" ref="K87">SUM(B88:J88)</f>
        <v>47</v>
      </c>
    </row>
    <row r="88" ht="15" customHeight="1">
      <c r="A88" t="s" s="4">
        <v>768</v>
      </c>
      <c r="B88" s="7">
        <v>3</v>
      </c>
      <c r="C88" s="7">
        <v>9</v>
      </c>
      <c r="D88" s="7">
        <v>5</v>
      </c>
      <c r="E88" s="7">
        <v>9</v>
      </c>
      <c r="F88" s="7">
        <v>3</v>
      </c>
      <c r="G88" s="7">
        <v>5</v>
      </c>
      <c r="H88" s="7">
        <v>4</v>
      </c>
      <c r="I88" s="7">
        <v>4</v>
      </c>
      <c r="J88" s="7">
        <v>5</v>
      </c>
      <c r="K88" s="7" cm="1">
        <f t="array" ref="K88">SUM(B89:J89)</f>
        <v>0</v>
      </c>
    </row>
    <row r="89" ht="15" customHeight="1">
      <c r="A89" s="2"/>
      <c r="B89" s="2"/>
      <c r="C89" s="2"/>
      <c r="D89" s="2"/>
      <c r="E89" s="2"/>
      <c r="F89" s="2"/>
      <c r="G89" s="2"/>
      <c r="H89" s="2"/>
      <c r="I89" s="2"/>
      <c r="J89" s="2"/>
      <c r="K89" s="2"/>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115"/>
  <sheetViews>
    <sheetView workbookViewId="0" showGridLines="0" defaultGridColor="1"/>
  </sheetViews>
  <sheetFormatPr defaultColWidth="8.66667" defaultRowHeight="15" customHeight="1" outlineLevelRow="0" outlineLevelCol="0"/>
  <cols>
    <col min="1" max="1" width="22" style="12" customWidth="1"/>
    <col min="2" max="2" width="6" style="12" customWidth="1"/>
    <col min="3" max="3" width="30" style="12" customWidth="1"/>
    <col min="4" max="5" width="22" style="12" customWidth="1"/>
    <col min="6" max="6" width="12" style="12" customWidth="1"/>
    <col min="7" max="16384" width="8.67188" style="12" customWidth="1"/>
  </cols>
  <sheetData>
    <row r="1" ht="17.25" customHeight="1">
      <c r="A1" t="s" s="3">
        <v>769</v>
      </c>
      <c r="B1" s="2"/>
      <c r="C1" s="2"/>
      <c r="D1" s="2"/>
      <c r="E1" s="2"/>
      <c r="F1" s="2"/>
    </row>
    <row r="2" ht="15" customHeight="1">
      <c r="A2" t="s" s="13">
        <v>770</v>
      </c>
      <c r="B2" s="2"/>
      <c r="C2" s="2"/>
      <c r="D2" s="2"/>
      <c r="E2" s="2"/>
      <c r="F2" s="2"/>
    </row>
    <row r="3" ht="15" customHeight="1">
      <c r="A3" t="s" s="14">
        <v>3</v>
      </c>
      <c r="B3" t="s" s="14">
        <v>771</v>
      </c>
      <c r="C3" t="s" s="14">
        <v>5</v>
      </c>
      <c r="D3" t="s" s="14">
        <v>7</v>
      </c>
      <c r="E3" t="s" s="14">
        <v>8</v>
      </c>
      <c r="F3" t="s" s="14">
        <v>772</v>
      </c>
    </row>
    <row r="4" ht="15" customHeight="1">
      <c r="A4" t="s" s="4">
        <v>478</v>
      </c>
      <c r="B4" t="s" s="4">
        <v>467</v>
      </c>
      <c r="C4" t="s" s="4">
        <v>42</v>
      </c>
      <c r="D4" t="s" s="4">
        <v>91</v>
      </c>
      <c r="E4" t="s" s="4">
        <v>479</v>
      </c>
      <c r="F4" s="7">
        <v>66</v>
      </c>
    </row>
    <row r="5" ht="15" customHeight="1">
      <c r="A5" t="s" s="4">
        <v>40</v>
      </c>
      <c r="B5" t="s" s="4">
        <v>41</v>
      </c>
      <c r="C5" t="s" s="4">
        <v>42</v>
      </c>
      <c r="D5" t="s" s="4">
        <v>43</v>
      </c>
      <c r="E5" t="s" s="4">
        <v>44</v>
      </c>
      <c r="F5" s="7">
        <v>65</v>
      </c>
    </row>
    <row r="6" ht="15" customHeight="1">
      <c r="A6" t="s" s="4">
        <v>336</v>
      </c>
      <c r="B6" t="s" s="4">
        <v>330</v>
      </c>
      <c r="C6" t="s" s="4">
        <v>337</v>
      </c>
      <c r="D6" t="s" s="4">
        <v>338</v>
      </c>
      <c r="E6" t="s" s="4">
        <v>339</v>
      </c>
      <c r="F6" s="7">
        <v>64</v>
      </c>
    </row>
    <row r="7" ht="15" customHeight="1">
      <c r="A7" t="s" s="4">
        <v>430</v>
      </c>
      <c r="B7" t="s" s="4">
        <v>431</v>
      </c>
      <c r="C7" t="s" s="4">
        <v>432</v>
      </c>
      <c r="D7" t="s" s="4">
        <v>248</v>
      </c>
      <c r="E7" t="s" s="4">
        <v>433</v>
      </c>
      <c r="F7" s="7">
        <v>64</v>
      </c>
    </row>
    <row r="8" ht="15" customHeight="1">
      <c r="A8" t="s" s="4">
        <v>89</v>
      </c>
      <c r="B8" t="s" s="4">
        <v>58</v>
      </c>
      <c r="C8" t="s" s="4">
        <v>90</v>
      </c>
      <c r="D8" t="s" s="4">
        <v>91</v>
      </c>
      <c r="E8" t="s" s="4">
        <v>92</v>
      </c>
      <c r="F8" s="7">
        <v>63</v>
      </c>
    </row>
    <row r="9" ht="15" customHeight="1">
      <c r="A9" t="s" s="4">
        <v>466</v>
      </c>
      <c r="B9" t="s" s="4">
        <v>467</v>
      </c>
      <c r="C9" t="s" s="4">
        <v>468</v>
      </c>
      <c r="D9" t="s" s="4">
        <v>469</v>
      </c>
      <c r="E9" t="s" s="4">
        <v>470</v>
      </c>
      <c r="F9" s="7">
        <v>63</v>
      </c>
    </row>
    <row r="10" ht="15" customHeight="1">
      <c r="A10" t="s" s="4">
        <v>635</v>
      </c>
      <c r="B10" t="s" s="4">
        <v>636</v>
      </c>
      <c r="C10" t="s" s="4">
        <v>637</v>
      </c>
      <c r="D10" t="s" s="4">
        <v>440</v>
      </c>
      <c r="E10" t="s" s="4">
        <v>333</v>
      </c>
      <c r="F10" s="7">
        <v>63</v>
      </c>
    </row>
    <row r="11" ht="15" customHeight="1">
      <c r="A11" t="s" s="4">
        <v>459</v>
      </c>
      <c r="B11" t="s" s="4">
        <v>460</v>
      </c>
      <c r="C11" t="s" s="4">
        <v>461</v>
      </c>
      <c r="D11" t="s" s="4">
        <v>91</v>
      </c>
      <c r="E11" t="s" s="4">
        <v>462</v>
      </c>
      <c r="F11" s="7">
        <v>62</v>
      </c>
    </row>
    <row r="12" ht="15" customHeight="1">
      <c r="A12" t="s" s="13">
        <v>414</v>
      </c>
      <c r="B12" t="s" s="4">
        <v>415</v>
      </c>
      <c r="C12" t="s" s="4">
        <v>416</v>
      </c>
      <c r="D12" t="s" s="4">
        <v>417</v>
      </c>
      <c r="E12" t="s" s="4">
        <v>339</v>
      </c>
      <c r="F12" s="7">
        <v>61</v>
      </c>
    </row>
    <row r="13" ht="15" customHeight="1">
      <c r="A13" t="s" s="14">
        <v>438</v>
      </c>
      <c r="B13" t="s" s="14">
        <v>431</v>
      </c>
      <c r="C13" t="s" s="14">
        <v>439</v>
      </c>
      <c r="D13" t="s" s="14">
        <v>440</v>
      </c>
      <c r="E13" t="s" s="14">
        <v>433</v>
      </c>
      <c r="F13" s="15">
        <v>61</v>
      </c>
    </row>
    <row r="14" ht="15" customHeight="1">
      <c r="A14" t="s" s="4">
        <v>207</v>
      </c>
      <c r="B14" t="s" s="4">
        <v>187</v>
      </c>
      <c r="C14" t="s" s="4">
        <v>208</v>
      </c>
      <c r="D14" t="s" s="4">
        <v>91</v>
      </c>
      <c r="E14" t="s" s="4">
        <v>209</v>
      </c>
      <c r="F14" s="7">
        <v>60</v>
      </c>
    </row>
    <row r="15" ht="15" customHeight="1">
      <c r="A15" t="s" s="4">
        <v>245</v>
      </c>
      <c r="B15" t="s" s="4">
        <v>246</v>
      </c>
      <c r="C15" t="s" s="4">
        <v>247</v>
      </c>
      <c r="D15" t="s" s="4">
        <v>248</v>
      </c>
      <c r="E15" t="s" s="4">
        <v>249</v>
      </c>
      <c r="F15" s="7">
        <v>60</v>
      </c>
    </row>
    <row r="16" ht="15" customHeight="1">
      <c r="A16" t="s" s="4">
        <v>284</v>
      </c>
      <c r="B16" t="s" s="4">
        <v>285</v>
      </c>
      <c r="C16" t="s" s="4">
        <v>286</v>
      </c>
      <c r="D16" t="s" s="4">
        <v>287</v>
      </c>
      <c r="E16" t="s" s="4">
        <v>92</v>
      </c>
      <c r="F16" s="7">
        <v>60</v>
      </c>
    </row>
    <row r="17" ht="15" customHeight="1">
      <c r="A17" t="s" s="4">
        <v>551</v>
      </c>
      <c r="B17" t="s" s="4">
        <v>539</v>
      </c>
      <c r="C17" t="s" s="4">
        <v>552</v>
      </c>
      <c r="D17" t="s" s="4">
        <v>338</v>
      </c>
      <c r="E17" t="s" s="4">
        <v>553</v>
      </c>
      <c r="F17" s="7">
        <v>60</v>
      </c>
    </row>
    <row r="18" ht="15" customHeight="1">
      <c r="A18" t="s" s="4">
        <v>575</v>
      </c>
      <c r="B18" t="s" s="4">
        <v>576</v>
      </c>
      <c r="C18" t="s" s="4">
        <v>577</v>
      </c>
      <c r="D18" t="s" s="4">
        <v>274</v>
      </c>
      <c r="E18" t="s" s="4">
        <v>578</v>
      </c>
      <c r="F18" s="7">
        <v>60</v>
      </c>
    </row>
    <row r="19" ht="15" customHeight="1">
      <c r="A19" t="s" s="4">
        <v>587</v>
      </c>
      <c r="B19" t="s" s="4">
        <v>246</v>
      </c>
      <c r="C19" t="s" s="4">
        <v>588</v>
      </c>
      <c r="D19" t="s" s="4">
        <v>469</v>
      </c>
      <c r="E19" t="s" s="4">
        <v>589</v>
      </c>
      <c r="F19" s="7">
        <v>60</v>
      </c>
    </row>
    <row r="20" ht="15" customHeight="1">
      <c r="A20" t="s" s="4">
        <v>643</v>
      </c>
      <c r="B20" t="s" s="4">
        <v>644</v>
      </c>
      <c r="C20" t="s" s="4">
        <v>645</v>
      </c>
      <c r="D20" t="s" s="4">
        <v>248</v>
      </c>
      <c r="E20" t="s" s="4">
        <v>646</v>
      </c>
      <c r="F20" s="7">
        <v>60</v>
      </c>
    </row>
    <row r="21" ht="15" customHeight="1">
      <c r="A21" t="s" s="4">
        <v>366</v>
      </c>
      <c r="B21" t="s" s="4">
        <v>361</v>
      </c>
      <c r="C21" t="s" s="4">
        <v>367</v>
      </c>
      <c r="D21" t="s" s="4">
        <v>325</v>
      </c>
      <c r="E21" t="s" s="4">
        <v>368</v>
      </c>
      <c r="F21" s="7">
        <v>59</v>
      </c>
    </row>
    <row r="22" ht="15" customHeight="1">
      <c r="A22" t="s" s="4">
        <v>449</v>
      </c>
      <c r="B22" t="s" s="4">
        <v>445</v>
      </c>
      <c r="C22" t="s" s="4">
        <v>450</v>
      </c>
      <c r="D22" t="s" s="4">
        <v>43</v>
      </c>
      <c r="E22" t="s" s="4">
        <v>240</v>
      </c>
      <c r="F22" s="7">
        <v>59</v>
      </c>
    </row>
    <row r="23" ht="15" customHeight="1">
      <c r="A23" t="s" s="4">
        <v>483</v>
      </c>
      <c r="B23" t="s" s="4">
        <v>467</v>
      </c>
      <c r="C23" t="s" s="4">
        <v>331</v>
      </c>
      <c r="D23" t="s" s="4">
        <v>293</v>
      </c>
      <c r="E23" t="s" s="4">
        <v>484</v>
      </c>
      <c r="F23" s="7">
        <v>59</v>
      </c>
    </row>
    <row r="24" ht="15" customHeight="1">
      <c r="A24" t="s" s="4">
        <v>271</v>
      </c>
      <c r="B24" t="s" s="4">
        <v>272</v>
      </c>
      <c r="C24" t="s" s="4">
        <v>273</v>
      </c>
      <c r="D24" t="s" s="4">
        <v>274</v>
      </c>
      <c r="E24" t="s" s="4">
        <v>275</v>
      </c>
      <c r="F24" s="7">
        <v>57</v>
      </c>
    </row>
    <row r="25" ht="15" customHeight="1">
      <c r="A25" t="s" s="4">
        <v>604</v>
      </c>
      <c r="B25" t="s" s="4">
        <v>570</v>
      </c>
      <c r="C25" t="s" s="4">
        <v>605</v>
      </c>
      <c r="D25" t="s" s="4">
        <v>606</v>
      </c>
      <c r="E25" t="s" s="4">
        <v>607</v>
      </c>
      <c r="F25" s="7">
        <v>57</v>
      </c>
    </row>
    <row r="26" ht="15" customHeight="1">
      <c r="A26" t="s" s="4">
        <v>329</v>
      </c>
      <c r="B26" t="s" s="4">
        <v>330</v>
      </c>
      <c r="C26" t="s" s="4">
        <v>331</v>
      </c>
      <c r="D26" t="s" s="4">
        <v>332</v>
      </c>
      <c r="E26" t="s" s="4">
        <v>333</v>
      </c>
      <c r="F26" s="7">
        <v>56</v>
      </c>
    </row>
    <row r="27" ht="15" customHeight="1">
      <c r="A27" t="s" s="4">
        <v>237</v>
      </c>
      <c r="B27" t="s" s="4">
        <v>238</v>
      </c>
      <c r="C27" t="s" s="4">
        <v>239</v>
      </c>
      <c r="D27" t="s" s="4">
        <v>43</v>
      </c>
      <c r="E27" t="s" s="4">
        <v>240</v>
      </c>
      <c r="F27" s="7">
        <v>55</v>
      </c>
    </row>
    <row r="28" ht="15" customHeight="1">
      <c r="A28" t="s" s="4">
        <v>474</v>
      </c>
      <c r="B28" t="s" s="4">
        <v>467</v>
      </c>
      <c r="C28" t="s" s="4">
        <v>475</v>
      </c>
      <c r="D28" t="s" s="4">
        <v>338</v>
      </c>
      <c r="E28" t="s" s="4">
        <v>209</v>
      </c>
      <c r="F28" s="7">
        <v>55</v>
      </c>
    </row>
    <row r="29" ht="15" customHeight="1">
      <c r="A29" t="s" s="4">
        <v>388</v>
      </c>
      <c r="B29" t="s" s="4">
        <v>389</v>
      </c>
      <c r="C29" t="s" s="4">
        <v>390</v>
      </c>
      <c r="D29" t="s" s="4">
        <v>391</v>
      </c>
      <c r="E29" t="s" s="4">
        <v>392</v>
      </c>
      <c r="F29" s="7">
        <v>54</v>
      </c>
    </row>
    <row r="30" ht="15" customHeight="1">
      <c r="A30" t="s" s="4">
        <v>49</v>
      </c>
      <c r="B30" t="s" s="4">
        <v>41</v>
      </c>
      <c r="C30" t="s" s="4">
        <v>50</v>
      </c>
      <c r="D30" t="s" s="4">
        <v>51</v>
      </c>
      <c r="E30" t="s" s="4">
        <v>52</v>
      </c>
      <c r="F30" s="7">
        <v>52</v>
      </c>
    </row>
    <row r="31" ht="15" customHeight="1">
      <c r="A31" t="s" s="4">
        <v>291</v>
      </c>
      <c r="B31" t="s" s="4">
        <v>285</v>
      </c>
      <c r="C31" t="s" s="4">
        <v>292</v>
      </c>
      <c r="D31" t="s" s="4">
        <v>293</v>
      </c>
      <c r="E31" t="s" s="4">
        <v>294</v>
      </c>
      <c r="F31" s="7">
        <v>52</v>
      </c>
    </row>
    <row r="32" ht="15" customHeight="1">
      <c r="A32" t="s" s="4">
        <v>593</v>
      </c>
      <c r="B32" t="s" s="4">
        <v>41</v>
      </c>
      <c r="C32" t="s" s="4">
        <v>362</v>
      </c>
      <c r="D32" t="s" s="4">
        <v>274</v>
      </c>
      <c r="E32" t="s" s="4">
        <v>594</v>
      </c>
      <c r="F32" s="7">
        <v>51</v>
      </c>
    </row>
    <row r="33" ht="15" customHeight="1">
      <c r="A33" t="s" s="4">
        <v>492</v>
      </c>
      <c r="B33" t="s" s="4">
        <v>493</v>
      </c>
      <c r="C33" t="s" s="4">
        <v>494</v>
      </c>
      <c r="D33" t="s" s="4">
        <v>274</v>
      </c>
      <c r="E33" t="s" s="4">
        <v>495</v>
      </c>
      <c r="F33" s="7">
        <v>47</v>
      </c>
    </row>
    <row r="34" ht="15" customHeight="1">
      <c r="A34" t="s" s="4">
        <v>322</v>
      </c>
      <c r="B34" t="s" s="4">
        <v>323</v>
      </c>
      <c r="C34" t="s" s="4">
        <v>324</v>
      </c>
      <c r="D34" t="s" s="4">
        <v>325</v>
      </c>
      <c r="E34" s="16">
        <v>297000</v>
      </c>
      <c r="F34" s="7">
        <v>62</v>
      </c>
    </row>
    <row r="35" ht="15" customHeight="1">
      <c r="A35" s="2"/>
      <c r="B35" s="2"/>
      <c r="C35" s="2"/>
      <c r="D35" s="2"/>
      <c r="E35" s="2"/>
      <c r="F35" s="2"/>
    </row>
    <row r="36" ht="15" customHeight="1">
      <c r="A36" t="s" s="4">
        <v>773</v>
      </c>
      <c r="B36" s="2"/>
      <c r="C36" s="2"/>
      <c r="D36" s="2"/>
      <c r="E36" s="2"/>
      <c r="F36" s="2"/>
    </row>
    <row r="37" ht="15" customHeight="1">
      <c r="A37" t="s" s="4">
        <v>3</v>
      </c>
      <c r="B37" t="s" s="4">
        <v>771</v>
      </c>
      <c r="C37" t="s" s="4">
        <v>5</v>
      </c>
      <c r="D37" t="s" s="4">
        <v>7</v>
      </c>
      <c r="E37" t="s" s="4">
        <v>8</v>
      </c>
      <c r="F37" t="s" s="4">
        <v>772</v>
      </c>
    </row>
    <row r="38" ht="15" customHeight="1">
      <c r="A38" t="s" s="4">
        <v>186</v>
      </c>
      <c r="B38" t="s" s="4">
        <v>187</v>
      </c>
      <c r="C38" t="s" s="4">
        <v>188</v>
      </c>
      <c r="D38" t="s" s="4">
        <v>189</v>
      </c>
      <c r="E38" t="s" s="4">
        <v>190</v>
      </c>
      <c r="F38" s="7">
        <v>68</v>
      </c>
    </row>
    <row r="39" ht="15" customHeight="1">
      <c r="A39" t="s" s="13">
        <v>224</v>
      </c>
      <c r="B39" t="s" s="4">
        <v>187</v>
      </c>
      <c r="C39" t="s" s="4">
        <v>225</v>
      </c>
      <c r="D39" t="s" s="4">
        <v>34</v>
      </c>
      <c r="E39" t="s" s="4">
        <v>226</v>
      </c>
      <c r="F39" s="7">
        <v>68</v>
      </c>
    </row>
    <row r="40" ht="15" customHeight="1">
      <c r="A40" t="s" s="14">
        <v>231</v>
      </c>
      <c r="B40" t="s" s="14">
        <v>187</v>
      </c>
      <c r="C40" t="s" s="14">
        <v>232</v>
      </c>
      <c r="D40" t="s" s="14">
        <v>197</v>
      </c>
      <c r="E40" t="s" s="14">
        <v>233</v>
      </c>
      <c r="F40" s="15">
        <v>68</v>
      </c>
    </row>
    <row r="41" ht="15" customHeight="1">
      <c r="A41" t="s" s="4">
        <v>629</v>
      </c>
      <c r="B41" t="s" s="4">
        <v>525</v>
      </c>
      <c r="C41" t="s" s="4">
        <v>630</v>
      </c>
      <c r="D41" t="s" s="4">
        <v>133</v>
      </c>
      <c r="E41" t="s" s="4">
        <v>631</v>
      </c>
      <c r="F41" s="7">
        <v>67</v>
      </c>
    </row>
    <row r="42" ht="15" customHeight="1">
      <c r="A42" t="s" s="4">
        <v>212</v>
      </c>
      <c r="B42" t="s" s="4">
        <v>187</v>
      </c>
      <c r="C42" t="s" s="4">
        <v>213</v>
      </c>
      <c r="D42" t="s" s="4">
        <v>214</v>
      </c>
      <c r="E42" t="s" s="4">
        <v>215</v>
      </c>
      <c r="F42" s="7">
        <v>66</v>
      </c>
    </row>
    <row r="43" ht="15" customHeight="1">
      <c r="A43" t="s" s="4">
        <v>317</v>
      </c>
      <c r="B43" t="s" s="4">
        <v>318</v>
      </c>
      <c r="C43" t="s" s="4">
        <v>273</v>
      </c>
      <c r="D43" t="s" s="4">
        <v>154</v>
      </c>
      <c r="E43" t="s" s="4">
        <v>319</v>
      </c>
      <c r="F43" s="7">
        <v>66</v>
      </c>
    </row>
    <row r="44" ht="15" customHeight="1">
      <c r="A44" t="s" s="4">
        <v>195</v>
      </c>
      <c r="B44" t="s" s="4">
        <v>187</v>
      </c>
      <c r="C44" t="s" s="4">
        <v>196</v>
      </c>
      <c r="D44" t="s" s="4">
        <v>197</v>
      </c>
      <c r="E44" t="s" s="4">
        <v>198</v>
      </c>
      <c r="F44" s="7">
        <v>64</v>
      </c>
    </row>
    <row r="45" ht="15" customHeight="1">
      <c r="A45" t="s" s="4">
        <v>219</v>
      </c>
      <c r="B45" t="s" s="4">
        <v>187</v>
      </c>
      <c r="C45" t="s" s="4">
        <v>220</v>
      </c>
      <c r="D45" t="s" s="4">
        <v>133</v>
      </c>
      <c r="E45" t="s" s="4">
        <v>221</v>
      </c>
      <c r="F45" s="7">
        <v>64</v>
      </c>
    </row>
    <row r="46" ht="15" customHeight="1">
      <c r="A46" t="s" s="4">
        <v>444</v>
      </c>
      <c r="B46" t="s" s="4">
        <v>445</v>
      </c>
      <c r="C46" t="s" s="4">
        <v>220</v>
      </c>
      <c r="D46" t="s" s="4">
        <v>384</v>
      </c>
      <c r="E46" t="s" s="4">
        <v>306</v>
      </c>
      <c r="F46" s="7">
        <v>64</v>
      </c>
    </row>
    <row r="47" ht="15" customHeight="1">
      <c r="A47" t="s" s="4">
        <v>487</v>
      </c>
      <c r="B47" t="s" s="4">
        <v>467</v>
      </c>
      <c r="C47" t="s" s="4">
        <v>488</v>
      </c>
      <c r="D47" t="s" s="4">
        <v>281</v>
      </c>
      <c r="E47" t="s" s="4">
        <v>489</v>
      </c>
      <c r="F47" s="7">
        <v>64</v>
      </c>
    </row>
    <row r="48" ht="15" customHeight="1">
      <c r="A48" t="s" s="4">
        <v>511</v>
      </c>
      <c r="B48" t="s" s="4">
        <v>493</v>
      </c>
      <c r="C48" t="s" s="4">
        <v>512</v>
      </c>
      <c r="D48" t="s" s="4">
        <v>513</v>
      </c>
      <c r="E48" t="s" s="4">
        <v>514</v>
      </c>
      <c r="F48" s="7">
        <v>63</v>
      </c>
    </row>
    <row r="49" ht="15" customHeight="1">
      <c r="A49" t="s" s="4">
        <v>657</v>
      </c>
      <c r="B49" t="s" s="4">
        <v>318</v>
      </c>
      <c r="C49" t="s" s="4">
        <v>658</v>
      </c>
      <c r="D49" t="s" s="4">
        <v>559</v>
      </c>
      <c r="E49" t="s" s="4">
        <v>659</v>
      </c>
      <c r="F49" s="7">
        <v>63</v>
      </c>
    </row>
    <row r="50" ht="15" customHeight="1">
      <c r="A50" s="2"/>
      <c r="B50" s="2"/>
      <c r="C50" s="2"/>
      <c r="D50" s="2"/>
      <c r="E50" s="2"/>
      <c r="F50" s="2"/>
    </row>
    <row r="51" ht="15" customHeight="1">
      <c r="A51" t="s" s="4">
        <v>401</v>
      </c>
      <c r="B51" t="s" s="4">
        <v>402</v>
      </c>
      <c r="C51" t="s" s="4">
        <v>403</v>
      </c>
      <c r="D51" t="s" s="4">
        <v>384</v>
      </c>
      <c r="E51" t="s" s="4">
        <v>404</v>
      </c>
      <c r="F51" s="7">
        <v>62</v>
      </c>
    </row>
    <row r="52" ht="15" customHeight="1">
      <c r="A52" t="s" s="4">
        <v>616</v>
      </c>
      <c r="B52" t="s" s="4">
        <v>41</v>
      </c>
      <c r="C52" t="s" s="4">
        <v>617</v>
      </c>
      <c r="D52" t="s" s="4">
        <v>618</v>
      </c>
      <c r="E52" t="s" s="4">
        <v>619</v>
      </c>
      <c r="F52" s="7">
        <v>62</v>
      </c>
    </row>
    <row r="53" ht="15" customHeight="1">
      <c r="A53" t="s" s="4">
        <v>372</v>
      </c>
      <c r="B53" t="s" s="4">
        <v>361</v>
      </c>
      <c r="C53" t="s" s="4">
        <v>373</v>
      </c>
      <c r="D53" t="s" s="4">
        <v>281</v>
      </c>
      <c r="E53" t="s" s="4">
        <v>374</v>
      </c>
      <c r="F53" s="7">
        <v>61</v>
      </c>
    </row>
    <row r="54" ht="15" customHeight="1">
      <c r="A54" t="s" s="4">
        <v>499</v>
      </c>
      <c r="B54" t="s" s="4">
        <v>493</v>
      </c>
      <c r="C54" t="s" s="4">
        <v>500</v>
      </c>
      <c r="D54" t="s" s="4">
        <v>501</v>
      </c>
      <c r="E54" t="s" s="4">
        <v>502</v>
      </c>
      <c r="F54" s="7">
        <v>61</v>
      </c>
    </row>
    <row r="55" ht="15" customHeight="1">
      <c r="A55" t="s" s="4">
        <v>563</v>
      </c>
      <c r="B55" t="s" s="4">
        <v>564</v>
      </c>
      <c r="C55" t="s" s="4">
        <v>565</v>
      </c>
      <c r="D55" t="s" s="4">
        <v>559</v>
      </c>
      <c r="E55" t="s" s="4">
        <v>566</v>
      </c>
      <c r="F55" s="7">
        <v>61</v>
      </c>
    </row>
    <row r="56" ht="15" customHeight="1">
      <c r="A56" t="s" s="4">
        <v>532</v>
      </c>
      <c r="B56" t="s" s="4">
        <v>525</v>
      </c>
      <c r="C56" t="s" s="4">
        <v>533</v>
      </c>
      <c r="D56" t="s" s="4">
        <v>133</v>
      </c>
      <c r="E56" t="s" s="4">
        <v>534</v>
      </c>
      <c r="F56" s="7">
        <v>59</v>
      </c>
    </row>
    <row r="57" ht="15" customHeight="1">
      <c r="A57" t="s" s="4">
        <v>557</v>
      </c>
      <c r="B57" t="s" s="4">
        <v>539</v>
      </c>
      <c r="C57" t="s" s="4">
        <v>558</v>
      </c>
      <c r="D57" t="s" s="4">
        <v>559</v>
      </c>
      <c r="E57" t="s" s="4">
        <v>560</v>
      </c>
      <c r="F57" s="7">
        <v>59</v>
      </c>
    </row>
    <row r="58" ht="15" customHeight="1">
      <c r="A58" t="s" s="4">
        <v>130</v>
      </c>
      <c r="B58" t="s" s="4">
        <v>131</v>
      </c>
      <c r="C58" t="s" s="4">
        <v>132</v>
      </c>
      <c r="D58" t="s" s="4">
        <v>133</v>
      </c>
      <c r="E58" t="s" s="4">
        <v>134</v>
      </c>
      <c r="F58" s="7">
        <v>58</v>
      </c>
    </row>
    <row r="59" ht="15" customHeight="1">
      <c r="A59" t="s" s="4">
        <v>253</v>
      </c>
      <c r="B59" t="s" s="4">
        <v>254</v>
      </c>
      <c r="C59" t="s" s="4">
        <v>255</v>
      </c>
      <c r="D59" t="s" s="4">
        <v>256</v>
      </c>
      <c r="E59" t="s" s="4">
        <v>257</v>
      </c>
      <c r="F59" s="7">
        <v>58</v>
      </c>
    </row>
    <row r="60" ht="15" customHeight="1">
      <c r="A60" t="s" s="4">
        <v>360</v>
      </c>
      <c r="B60" t="s" s="4">
        <v>361</v>
      </c>
      <c r="C60" t="s" s="4">
        <v>362</v>
      </c>
      <c r="D60" t="s" s="4">
        <v>281</v>
      </c>
      <c r="E60" t="s" s="4">
        <v>215</v>
      </c>
      <c r="F60" s="7">
        <v>58</v>
      </c>
    </row>
    <row r="61" ht="15" customHeight="1">
      <c r="A61" t="s" s="4">
        <v>546</v>
      </c>
      <c r="B61" t="s" s="4">
        <v>539</v>
      </c>
      <c r="C61" t="s" s="4">
        <v>547</v>
      </c>
      <c r="D61" t="s" s="4">
        <v>197</v>
      </c>
      <c r="E61" t="s" s="4">
        <v>548</v>
      </c>
      <c r="F61" s="7">
        <v>58</v>
      </c>
    </row>
    <row r="62" ht="15" customHeight="1">
      <c r="A62" t="s" s="4">
        <v>569</v>
      </c>
      <c r="B62" t="s" s="4">
        <v>570</v>
      </c>
      <c r="C62" t="s" s="4">
        <v>571</v>
      </c>
      <c r="D62" t="s" s="4">
        <v>281</v>
      </c>
      <c r="E62" t="s" s="4">
        <v>572</v>
      </c>
      <c r="F62" s="7">
        <v>58</v>
      </c>
    </row>
    <row r="63" ht="15" customHeight="1">
      <c r="A63" t="s" s="4">
        <v>381</v>
      </c>
      <c r="B63" t="s" s="4">
        <v>382</v>
      </c>
      <c r="C63" t="s" s="4">
        <v>383</v>
      </c>
      <c r="D63" t="s" s="4">
        <v>384</v>
      </c>
      <c r="E63" t="s" s="4">
        <v>385</v>
      </c>
      <c r="F63" s="7">
        <v>57</v>
      </c>
    </row>
    <row r="64" ht="15" customHeight="1">
      <c r="A64" t="s" s="4">
        <v>152</v>
      </c>
      <c r="B64" t="s" s="4">
        <v>131</v>
      </c>
      <c r="C64" t="s" s="4">
        <v>153</v>
      </c>
      <c r="D64" t="s" s="4">
        <v>154</v>
      </c>
      <c r="E64" t="s" s="4">
        <v>155</v>
      </c>
      <c r="F64" s="7">
        <v>56</v>
      </c>
    </row>
    <row r="65" ht="15" customHeight="1">
      <c r="A65" t="s" s="4">
        <v>279</v>
      </c>
      <c r="B65" t="s" s="4">
        <v>272</v>
      </c>
      <c r="C65" t="s" s="4">
        <v>280</v>
      </c>
      <c r="D65" t="s" s="4">
        <v>281</v>
      </c>
      <c r="E65" t="s" s="4">
        <v>221</v>
      </c>
      <c r="F65" s="7">
        <v>55</v>
      </c>
    </row>
    <row r="66" ht="15" customHeight="1">
      <c r="A66" t="s" s="4">
        <v>31</v>
      </c>
      <c r="B66" t="s" s="4">
        <v>32</v>
      </c>
      <c r="C66" t="s" s="4">
        <v>33</v>
      </c>
      <c r="D66" t="s" s="4">
        <v>34</v>
      </c>
      <c r="E66" t="s" s="4">
        <v>35</v>
      </c>
      <c r="F66" s="7">
        <v>54</v>
      </c>
    </row>
    <row r="67" ht="15" customHeight="1">
      <c r="A67" t="s" s="4">
        <v>178</v>
      </c>
      <c r="B67" t="s" s="4">
        <v>361</v>
      </c>
      <c r="C67" t="s" s="4">
        <v>377</v>
      </c>
      <c r="D67" t="s" s="4">
        <v>34</v>
      </c>
      <c r="E67" t="s" s="4">
        <v>378</v>
      </c>
      <c r="F67" s="7">
        <v>52</v>
      </c>
    </row>
    <row r="68" ht="15" customHeight="1">
      <c r="A68" t="s" s="4">
        <v>427</v>
      </c>
      <c r="B68" t="s" s="4">
        <v>421</v>
      </c>
      <c r="C68" t="s" s="4">
        <v>42</v>
      </c>
      <c r="D68" t="s" s="4">
        <v>154</v>
      </c>
      <c r="E68" t="s" s="4">
        <v>404</v>
      </c>
      <c r="F68" s="7">
        <v>52</v>
      </c>
    </row>
    <row r="69" ht="15" customHeight="1">
      <c r="A69" s="2"/>
      <c r="B69" s="2"/>
      <c r="C69" s="2"/>
      <c r="D69" s="2"/>
      <c r="E69" s="2"/>
      <c r="F69" s="2"/>
    </row>
    <row r="70" ht="15" customHeight="1">
      <c r="A70" t="s" s="4">
        <v>774</v>
      </c>
      <c r="B70" s="2"/>
      <c r="C70" s="2"/>
      <c r="D70" s="2"/>
      <c r="E70" s="2"/>
      <c r="F70" s="2"/>
    </row>
    <row r="71" ht="15" customHeight="1">
      <c r="A71" t="s" s="4">
        <v>3</v>
      </c>
      <c r="B71" t="s" s="4">
        <v>771</v>
      </c>
      <c r="C71" t="s" s="4">
        <v>5</v>
      </c>
      <c r="D71" t="s" s="4">
        <v>7</v>
      </c>
      <c r="E71" t="s" s="4">
        <v>8</v>
      </c>
      <c r="F71" t="s" s="4">
        <v>772</v>
      </c>
    </row>
    <row r="72" ht="15" customHeight="1">
      <c r="A72" t="s" s="4">
        <v>201</v>
      </c>
      <c r="B72" t="s" s="4">
        <v>187</v>
      </c>
      <c r="C72" t="s" s="4">
        <v>202</v>
      </c>
      <c r="D72" t="s" s="4">
        <v>203</v>
      </c>
      <c r="E72" t="s" s="4">
        <v>69</v>
      </c>
      <c r="F72" s="7">
        <v>68</v>
      </c>
    </row>
    <row r="73" ht="15" customHeight="1">
      <c r="A73" t="s" s="4">
        <v>598</v>
      </c>
      <c r="B73" t="s" s="4">
        <v>187</v>
      </c>
      <c r="C73" t="s" s="4">
        <v>599</v>
      </c>
      <c r="D73" t="s" s="4">
        <v>600</v>
      </c>
      <c r="E73" t="s" s="4">
        <v>601</v>
      </c>
      <c r="F73" s="7">
        <v>68</v>
      </c>
    </row>
    <row r="74" ht="15" customHeight="1">
      <c r="A74" t="s" s="4">
        <v>505</v>
      </c>
      <c r="B74" t="s" s="4">
        <v>493</v>
      </c>
      <c r="C74" t="s" s="4">
        <v>506</v>
      </c>
      <c r="D74" t="s" s="4">
        <v>507</v>
      </c>
      <c r="E74" t="s" s="4">
        <v>508</v>
      </c>
      <c r="F74" s="7">
        <v>64</v>
      </c>
    </row>
    <row r="75" ht="15" customHeight="1">
      <c r="A75" t="s" s="4">
        <v>146</v>
      </c>
      <c r="B75" t="s" s="4">
        <v>131</v>
      </c>
      <c r="C75" t="s" s="4">
        <v>147</v>
      </c>
      <c r="D75" t="s" s="4">
        <v>60</v>
      </c>
      <c r="E75" t="s" s="4">
        <v>148</v>
      </c>
      <c r="F75" s="7">
        <v>61</v>
      </c>
    </row>
    <row r="76" ht="15" customHeight="1">
      <c r="A76" t="s" s="4">
        <v>538</v>
      </c>
      <c r="B76" t="s" s="4">
        <v>539</v>
      </c>
      <c r="C76" t="s" s="4">
        <v>540</v>
      </c>
      <c r="D76" t="s" s="4">
        <v>541</v>
      </c>
      <c r="E76" t="s" s="4">
        <v>542</v>
      </c>
      <c r="F76" s="7">
        <v>60</v>
      </c>
    </row>
    <row r="77" ht="15" customHeight="1">
      <c r="A77" t="s" s="13">
        <v>650</v>
      </c>
      <c r="B77" t="s" s="4">
        <v>651</v>
      </c>
      <c r="C77" t="s" s="4">
        <v>652</v>
      </c>
      <c r="D77" t="s" s="4">
        <v>68</v>
      </c>
      <c r="E77" t="s" s="4">
        <v>653</v>
      </c>
      <c r="F77" s="7">
        <v>60</v>
      </c>
    </row>
    <row r="78" ht="15" customHeight="1">
      <c r="A78" t="s" s="14">
        <v>178</v>
      </c>
      <c r="B78" t="s" s="14">
        <v>172</v>
      </c>
      <c r="C78" t="s" s="14">
        <v>179</v>
      </c>
      <c r="D78" t="s" s="14">
        <v>180</v>
      </c>
      <c r="E78" t="s" s="14">
        <v>181</v>
      </c>
      <c r="F78" s="15">
        <v>59</v>
      </c>
    </row>
    <row r="79" ht="15" customHeight="1">
      <c r="A79" t="s" s="4">
        <v>311</v>
      </c>
      <c r="B79" t="s" s="4">
        <v>312</v>
      </c>
      <c r="C79" t="s" s="4">
        <v>313</v>
      </c>
      <c r="D79" t="s" s="4">
        <v>262</v>
      </c>
      <c r="E79" t="s" s="4">
        <v>314</v>
      </c>
      <c r="F79" s="7">
        <v>59</v>
      </c>
    </row>
    <row r="80" ht="15" customHeight="1">
      <c r="A80" t="s" s="4">
        <v>612</v>
      </c>
      <c r="B80" t="s" s="4">
        <v>361</v>
      </c>
      <c r="C80" t="s" s="4">
        <v>204</v>
      </c>
      <c r="D80" t="s" s="4">
        <v>507</v>
      </c>
      <c r="E80" t="s" s="4">
        <v>613</v>
      </c>
      <c r="F80" s="7">
        <v>59</v>
      </c>
    </row>
    <row r="81" ht="15" customHeight="1">
      <c r="A81" t="s" s="4">
        <v>171</v>
      </c>
      <c r="B81" t="s" s="4">
        <v>172</v>
      </c>
      <c r="C81" t="s" s="4">
        <v>173</v>
      </c>
      <c r="D81" t="s" s="4">
        <v>60</v>
      </c>
      <c r="E81" t="s" s="4">
        <v>174</v>
      </c>
      <c r="F81" s="7">
        <v>58</v>
      </c>
    </row>
    <row r="82" ht="15" customHeight="1">
      <c r="A82" t="s" s="4">
        <v>260</v>
      </c>
      <c r="B82" t="s" s="4">
        <v>254</v>
      </c>
      <c r="C82" t="s" s="4">
        <v>261</v>
      </c>
      <c r="D82" t="s" s="4">
        <v>262</v>
      </c>
      <c r="E82" t="s" s="4">
        <v>148</v>
      </c>
      <c r="F82" s="7">
        <v>58</v>
      </c>
    </row>
    <row r="83" ht="15" customHeight="1">
      <c r="A83" t="s" s="4">
        <v>297</v>
      </c>
      <c r="B83" t="s" s="4">
        <v>298</v>
      </c>
      <c r="C83" t="s" s="4">
        <v>299</v>
      </c>
      <c r="D83" t="s" s="4">
        <v>300</v>
      </c>
      <c r="E83" t="s" s="4">
        <v>301</v>
      </c>
      <c r="F83" s="7">
        <v>57</v>
      </c>
    </row>
    <row r="84" ht="15" customHeight="1">
      <c r="A84" t="s" s="4">
        <v>66</v>
      </c>
      <c r="B84" t="s" s="4">
        <v>58</v>
      </c>
      <c r="C84" t="s" s="4">
        <v>67</v>
      </c>
      <c r="D84" t="s" s="4">
        <v>68</v>
      </c>
      <c r="E84" t="s" s="4">
        <v>69</v>
      </c>
      <c r="F84" s="7">
        <v>55</v>
      </c>
    </row>
    <row r="85" ht="15" customHeight="1">
      <c r="A85" t="s" s="4">
        <v>396</v>
      </c>
      <c r="B85" t="s" s="4">
        <v>389</v>
      </c>
      <c r="C85" t="s" s="4">
        <v>397</v>
      </c>
      <c r="D85" t="s" s="4">
        <v>68</v>
      </c>
      <c r="E85" t="s" s="4">
        <v>398</v>
      </c>
      <c r="F85" s="7">
        <v>55</v>
      </c>
    </row>
    <row r="86" ht="15" customHeight="1">
      <c r="A86" t="s" s="4">
        <v>304</v>
      </c>
      <c r="B86" t="s" s="4">
        <v>298</v>
      </c>
      <c r="C86" t="s" s="4">
        <v>305</v>
      </c>
      <c r="D86" t="s" s="4">
        <v>262</v>
      </c>
      <c r="E86" t="s" s="4">
        <v>306</v>
      </c>
      <c r="F86" s="7">
        <v>54</v>
      </c>
    </row>
    <row r="87" ht="15" customHeight="1">
      <c r="A87" t="s" s="4">
        <v>407</v>
      </c>
      <c r="B87" t="s" s="4">
        <v>408</v>
      </c>
      <c r="C87" t="s" s="4">
        <v>409</v>
      </c>
      <c r="D87" t="s" s="4">
        <v>410</v>
      </c>
      <c r="E87" t="s" s="4">
        <v>411</v>
      </c>
      <c r="F87" s="7">
        <v>54</v>
      </c>
    </row>
    <row r="88" ht="15" customHeight="1">
      <c r="A88" t="s" s="4">
        <v>455</v>
      </c>
      <c r="B88" t="s" s="4">
        <v>445</v>
      </c>
      <c r="C88" t="s" s="4">
        <v>204</v>
      </c>
      <c r="D88" t="s" s="4">
        <v>119</v>
      </c>
      <c r="E88" t="s" s="4">
        <v>456</v>
      </c>
      <c r="F88" s="7">
        <v>54</v>
      </c>
    </row>
    <row r="89" ht="15" customHeight="1">
      <c r="A89" t="s" s="4">
        <v>57</v>
      </c>
      <c r="B89" t="s" s="4">
        <v>58</v>
      </c>
      <c r="C89" t="s" s="4">
        <v>59</v>
      </c>
      <c r="D89" t="s" s="4">
        <v>60</v>
      </c>
      <c r="E89" t="s" s="4">
        <v>61</v>
      </c>
      <c r="F89" s="7">
        <v>51</v>
      </c>
    </row>
    <row r="90" ht="15" customHeight="1">
      <c r="A90" t="s" s="4">
        <v>349</v>
      </c>
      <c r="B90" t="s" s="4">
        <v>343</v>
      </c>
      <c r="C90" t="s" s="4">
        <v>350</v>
      </c>
      <c r="D90" t="s" s="4">
        <v>351</v>
      </c>
      <c r="E90" t="s" s="4">
        <v>352</v>
      </c>
      <c r="F90" s="7">
        <v>50</v>
      </c>
    </row>
    <row r="91" ht="15" customHeight="1">
      <c r="A91" t="s" s="4">
        <v>118</v>
      </c>
      <c r="B91" t="s" s="4">
        <v>97</v>
      </c>
      <c r="C91" t="s" s="4">
        <v>75</v>
      </c>
      <c r="D91" t="s" s="4">
        <v>119</v>
      </c>
      <c r="E91" t="s" s="4">
        <v>120</v>
      </c>
      <c r="F91" s="7">
        <v>49</v>
      </c>
    </row>
    <row r="92" ht="15" customHeight="1">
      <c r="A92" s="2"/>
      <c r="B92" s="2"/>
      <c r="C92" s="2"/>
      <c r="D92" s="2"/>
      <c r="E92" s="2"/>
      <c r="F92" s="2"/>
    </row>
    <row r="93" ht="15" customHeight="1">
      <c r="A93" t="s" s="4">
        <v>775</v>
      </c>
      <c r="B93" s="2"/>
      <c r="C93" s="2"/>
      <c r="D93" s="2"/>
      <c r="E93" s="2"/>
      <c r="F93" s="2"/>
    </row>
    <row r="94" ht="15" customHeight="1">
      <c r="A94" t="s" s="13">
        <v>3</v>
      </c>
      <c r="B94" t="s" s="4">
        <v>771</v>
      </c>
      <c r="C94" t="s" s="4">
        <v>5</v>
      </c>
      <c r="D94" t="s" s="4">
        <v>7</v>
      </c>
      <c r="E94" t="s" s="4">
        <v>8</v>
      </c>
      <c r="F94" t="s" s="4">
        <v>772</v>
      </c>
    </row>
    <row r="95" ht="15" customHeight="1">
      <c r="A95" t="s" s="14">
        <v>622</v>
      </c>
      <c r="B95" t="s" s="14">
        <v>131</v>
      </c>
      <c r="C95" t="s" s="14">
        <v>623</v>
      </c>
      <c r="D95" t="s" s="14">
        <v>624</v>
      </c>
      <c r="E95" t="s" s="14">
        <v>625</v>
      </c>
      <c r="F95" s="15">
        <v>67</v>
      </c>
    </row>
    <row r="96" ht="15" customHeight="1">
      <c r="A96" t="s" s="4">
        <v>74</v>
      </c>
      <c r="B96" t="s" s="4">
        <v>58</v>
      </c>
      <c r="C96" t="s" s="4">
        <v>75</v>
      </c>
      <c r="D96" t="s" s="4">
        <v>76</v>
      </c>
      <c r="E96" t="s" s="4">
        <v>77</v>
      </c>
      <c r="F96" s="7">
        <v>66</v>
      </c>
    </row>
    <row r="97" ht="15" customHeight="1">
      <c r="A97" t="s" s="4">
        <v>420</v>
      </c>
      <c r="B97" t="s" s="4">
        <v>421</v>
      </c>
      <c r="C97" t="s" s="4">
        <v>255</v>
      </c>
      <c r="D97" t="s" s="4">
        <v>422</v>
      </c>
      <c r="E97" t="s" s="4">
        <v>423</v>
      </c>
      <c r="F97" s="7">
        <v>63</v>
      </c>
    </row>
    <row r="98" ht="15" customHeight="1">
      <c r="A98" t="s" s="4">
        <v>517</v>
      </c>
      <c r="B98" t="s" s="4">
        <v>493</v>
      </c>
      <c r="C98" t="s" s="4">
        <v>518</v>
      </c>
      <c r="D98" t="s" s="4">
        <v>519</v>
      </c>
      <c r="E98" t="s" s="4">
        <v>520</v>
      </c>
      <c r="F98" s="7">
        <v>59</v>
      </c>
    </row>
    <row r="99" ht="15" customHeight="1">
      <c r="A99" t="s" s="4">
        <v>355</v>
      </c>
      <c r="B99" t="s" s="4">
        <v>343</v>
      </c>
      <c r="C99" t="s" s="4">
        <v>160</v>
      </c>
      <c r="D99" t="s" s="4">
        <v>356</v>
      </c>
      <c r="E99" t="s" s="4">
        <v>357</v>
      </c>
      <c r="F99" s="7">
        <v>57</v>
      </c>
    </row>
    <row r="100" ht="15" customHeight="1">
      <c r="A100" t="s" s="4">
        <v>342</v>
      </c>
      <c r="B100" t="s" s="4">
        <v>343</v>
      </c>
      <c r="C100" t="s" s="4">
        <v>344</v>
      </c>
      <c r="D100" t="s" s="4">
        <v>345</v>
      </c>
      <c r="E100" t="s" s="4">
        <v>346</v>
      </c>
      <c r="F100" s="7">
        <v>56</v>
      </c>
    </row>
    <row r="101" ht="15" customHeight="1">
      <c r="A101" t="s" s="4">
        <v>663</v>
      </c>
      <c r="B101" t="s" s="4">
        <v>664</v>
      </c>
      <c r="C101" t="s" s="4">
        <v>665</v>
      </c>
      <c r="D101" t="s" s="4">
        <v>666</v>
      </c>
      <c r="E101" t="s" s="4">
        <v>667</v>
      </c>
      <c r="F101" s="7">
        <v>54</v>
      </c>
    </row>
    <row r="102" ht="15" customHeight="1">
      <c r="A102" t="s" s="4">
        <v>139</v>
      </c>
      <c r="B102" t="s" s="4">
        <v>131</v>
      </c>
      <c r="C102" t="s" s="4">
        <v>140</v>
      </c>
      <c r="D102" t="s" s="4">
        <v>141</v>
      </c>
      <c r="E102" t="s" s="4">
        <v>142</v>
      </c>
      <c r="F102" s="7">
        <v>53</v>
      </c>
    </row>
    <row r="103" ht="15" customHeight="1">
      <c r="A103" t="s" s="4">
        <v>82</v>
      </c>
      <c r="B103" t="s" s="4">
        <v>58</v>
      </c>
      <c r="C103" t="s" s="4">
        <v>83</v>
      </c>
      <c r="D103" t="s" s="4">
        <v>84</v>
      </c>
      <c r="E103" t="s" s="4">
        <v>85</v>
      </c>
      <c r="F103" s="7">
        <v>51</v>
      </c>
    </row>
    <row r="104" ht="13.55" customHeight="1">
      <c r="A104" t="s" s="4">
        <v>113</v>
      </c>
      <c r="B104" t="s" s="4">
        <v>97</v>
      </c>
      <c r="C104" t="s" s="4">
        <v>114</v>
      </c>
      <c r="D104" t="s" s="4">
        <v>115</v>
      </c>
      <c r="E104" t="s" s="4">
        <v>85</v>
      </c>
      <c r="F104" s="7">
        <v>49</v>
      </c>
    </row>
    <row r="105" ht="13.55" customHeight="1">
      <c r="A105" s="2"/>
      <c r="B105" s="2"/>
      <c r="C105" s="2"/>
      <c r="D105" s="2"/>
      <c r="E105" s="2"/>
      <c r="F105" s="2"/>
    </row>
    <row r="106" ht="13.55" customHeight="1">
      <c r="A106" t="s" s="4">
        <v>776</v>
      </c>
      <c r="B106" s="2"/>
      <c r="C106" s="2"/>
      <c r="D106" s="2"/>
      <c r="E106" s="2"/>
      <c r="F106" s="2"/>
    </row>
    <row r="107" ht="13.55" customHeight="1">
      <c r="A107" t="s" s="4">
        <v>3</v>
      </c>
      <c r="B107" t="s" s="4">
        <v>771</v>
      </c>
      <c r="C107" t="s" s="4">
        <v>5</v>
      </c>
      <c r="D107" t="s" s="4">
        <v>7</v>
      </c>
      <c r="E107" t="s" s="4">
        <v>8</v>
      </c>
      <c r="F107" t="s" s="4">
        <v>772</v>
      </c>
    </row>
    <row r="108" ht="13.55" customHeight="1">
      <c r="A108" t="s" s="4">
        <v>581</v>
      </c>
      <c r="B108" t="s" s="4">
        <v>576</v>
      </c>
      <c r="C108" t="s" s="4">
        <v>582</v>
      </c>
      <c r="D108" t="s" s="4">
        <v>583</v>
      </c>
      <c r="E108" t="s" s="4">
        <v>584</v>
      </c>
      <c r="F108" s="7">
        <v>62</v>
      </c>
    </row>
    <row r="109" ht="13.55" customHeight="1">
      <c r="A109" t="s" s="4">
        <v>165</v>
      </c>
      <c r="B109" t="s" s="4">
        <v>131</v>
      </c>
      <c r="C109" t="s" s="4">
        <v>166</v>
      </c>
      <c r="D109" t="s" s="4">
        <v>167</v>
      </c>
      <c r="E109" t="s" s="4">
        <v>168</v>
      </c>
      <c r="F109" s="7">
        <v>59</v>
      </c>
    </row>
    <row r="110" ht="13.55" customHeight="1">
      <c r="A110" t="s" s="4">
        <v>524</v>
      </c>
      <c r="B110" t="s" s="4">
        <v>525</v>
      </c>
      <c r="C110" t="s" s="4">
        <v>526</v>
      </c>
      <c r="D110" t="s" s="4">
        <v>527</v>
      </c>
      <c r="E110" t="s" s="4">
        <v>528</v>
      </c>
      <c r="F110" s="7">
        <v>59</v>
      </c>
    </row>
    <row r="111" ht="13.55" customHeight="1">
      <c r="A111" t="s" s="4">
        <v>124</v>
      </c>
      <c r="B111" t="s" s="4">
        <v>97</v>
      </c>
      <c r="C111" t="s" s="4">
        <v>125</v>
      </c>
      <c r="D111" t="s" s="4">
        <v>126</v>
      </c>
      <c r="E111" t="s" s="4">
        <v>127</v>
      </c>
      <c r="F111" s="7">
        <v>57</v>
      </c>
    </row>
    <row r="112" ht="13.55" customHeight="1">
      <c r="A112" t="s" s="4">
        <v>266</v>
      </c>
      <c r="B112" t="s" s="4">
        <v>254</v>
      </c>
      <c r="C112" t="s" s="4">
        <v>160</v>
      </c>
      <c r="D112" t="s" s="4">
        <v>267</v>
      </c>
      <c r="E112" t="s" s="4">
        <v>268</v>
      </c>
      <c r="F112" s="7">
        <v>56</v>
      </c>
    </row>
    <row r="113" ht="13.55" customHeight="1">
      <c r="A113" t="s" s="4">
        <v>106</v>
      </c>
      <c r="B113" t="s" s="4">
        <v>97</v>
      </c>
      <c r="C113" t="s" s="4">
        <v>107</v>
      </c>
      <c r="D113" t="s" s="4">
        <v>108</v>
      </c>
      <c r="E113" t="s" s="4">
        <v>109</v>
      </c>
      <c r="F113" s="7">
        <v>54</v>
      </c>
    </row>
    <row r="114" ht="13.55" customHeight="1">
      <c r="A114" t="s" s="4">
        <v>159</v>
      </c>
      <c r="B114" t="s" s="4">
        <v>131</v>
      </c>
      <c r="C114" t="s" s="4">
        <v>160</v>
      </c>
      <c r="D114" t="s" s="4">
        <v>161</v>
      </c>
      <c r="E114" t="s" s="4">
        <v>162</v>
      </c>
      <c r="F114" s="7">
        <v>52</v>
      </c>
    </row>
    <row r="115" ht="13.55" customHeight="1">
      <c r="A115" t="s" s="4">
        <v>96</v>
      </c>
      <c r="B115" t="s" s="4">
        <v>97</v>
      </c>
      <c r="C115" t="s" s="4">
        <v>98</v>
      </c>
      <c r="D115" t="s" s="4">
        <v>99</v>
      </c>
      <c r="E115" t="s" s="4">
        <v>100</v>
      </c>
      <c r="F115" s="7">
        <v>51</v>
      </c>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66667" defaultRowHeight="15" customHeight="1" outlineLevelRow="0" outlineLevelCol="0"/>
  <cols>
    <col min="1" max="1" width="20" style="17" customWidth="1"/>
    <col min="2" max="2" width="6" style="17" customWidth="1"/>
    <col min="3" max="3" width="14" style="17" customWidth="1"/>
    <col min="4" max="4" width="18" style="17" customWidth="1"/>
    <col min="5" max="5" width="22" style="17" customWidth="1"/>
    <col min="6" max="6" width="12" style="17" customWidth="1"/>
    <col min="7" max="7" width="40" style="17" customWidth="1"/>
    <col min="8" max="16384" width="8.67188" style="17" customWidth="1"/>
  </cols>
  <sheetData>
    <row r="1" ht="17.25" customHeight="1">
      <c r="A1" t="s" s="3">
        <v>777</v>
      </c>
      <c r="B1" s="2"/>
      <c r="C1" s="2"/>
      <c r="D1" s="2"/>
      <c r="E1" s="2"/>
      <c r="F1" s="2"/>
      <c r="G1" s="2"/>
    </row>
    <row r="2" ht="15" customHeight="1">
      <c r="A2" t="s" s="14">
        <v>3</v>
      </c>
      <c r="B2" t="s" s="14">
        <v>771</v>
      </c>
      <c r="C2" t="s" s="14">
        <v>778</v>
      </c>
      <c r="D2" t="s" s="14">
        <v>8</v>
      </c>
      <c r="E2" t="s" s="14">
        <v>7</v>
      </c>
      <c r="F2" t="s" s="14">
        <v>779</v>
      </c>
      <c r="G2" t="s" s="14">
        <v>780</v>
      </c>
    </row>
    <row r="3" ht="13.55" customHeight="1">
      <c r="A3" s="2"/>
      <c r="B3" s="2"/>
      <c r="C3" s="2"/>
      <c r="D3" s="2"/>
      <c r="E3" s="2"/>
      <c r="F3" s="2"/>
      <c r="G3" s="2"/>
    </row>
    <row r="4" ht="13.55" customHeight="1">
      <c r="A4" s="2"/>
      <c r="B4" s="2"/>
      <c r="C4" s="2"/>
      <c r="D4" s="2"/>
      <c r="E4" s="2"/>
      <c r="F4" s="2"/>
      <c r="G4" s="2"/>
    </row>
    <row r="5" ht="13.55" customHeight="1">
      <c r="A5" s="2"/>
      <c r="B5" s="2"/>
      <c r="C5" s="2"/>
      <c r="D5" s="2"/>
      <c r="E5" s="2"/>
      <c r="F5" s="2"/>
      <c r="G5" s="2"/>
    </row>
    <row r="6" ht="13.55" customHeight="1">
      <c r="A6" s="2"/>
      <c r="B6" s="2"/>
      <c r="C6" s="2"/>
      <c r="D6" s="2"/>
      <c r="E6" s="2"/>
      <c r="F6" s="2"/>
      <c r="G6" s="2"/>
    </row>
    <row r="7" ht="13.55" customHeight="1">
      <c r="A7" s="2"/>
      <c r="B7" s="2"/>
      <c r="C7" s="2"/>
      <c r="D7" s="2"/>
      <c r="E7" s="2"/>
      <c r="F7" s="2"/>
      <c r="G7" s="2"/>
    </row>
    <row r="8" ht="13.55" customHeight="1">
      <c r="A8" s="2"/>
      <c r="B8" s="2"/>
      <c r="C8" s="2"/>
      <c r="D8" s="2"/>
      <c r="E8" s="2"/>
      <c r="F8" s="2"/>
      <c r="G8" s="2"/>
    </row>
    <row r="9" ht="13.55" customHeight="1">
      <c r="A9" s="2"/>
      <c r="B9" s="2"/>
      <c r="C9" s="2"/>
      <c r="D9" s="2"/>
      <c r="E9" s="2"/>
      <c r="F9" s="2"/>
      <c r="G9" s="2"/>
    </row>
    <row r="10" ht="13.55" customHeight="1">
      <c r="A10" s="2"/>
      <c r="B10" s="2"/>
      <c r="C10" s="2"/>
      <c r="D10" s="2"/>
      <c r="E10" s="2"/>
      <c r="F10" s="2"/>
      <c r="G10" s="2"/>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AA10"/>
  <sheetViews>
    <sheetView workbookViewId="0" showGridLines="0" defaultGridColor="1"/>
  </sheetViews>
  <sheetFormatPr defaultColWidth="8.66667" defaultRowHeight="15" customHeight="1" outlineLevelRow="0" outlineLevelCol="0"/>
  <cols>
    <col min="1" max="27" width="8.67188" style="18" customWidth="1"/>
    <col min="28" max="16384" width="8.67188" style="18" customWidth="1"/>
  </cols>
  <sheetData>
    <row r="1" ht="15" customHeight="1">
      <c r="A1" t="s" s="10">
        <v>781</v>
      </c>
      <c r="B1" s="5"/>
      <c r="C1" s="5"/>
      <c r="D1" s="5"/>
      <c r="E1" s="5"/>
      <c r="F1" s="5"/>
      <c r="G1" s="5"/>
      <c r="H1" s="5"/>
      <c r="I1" s="5"/>
      <c r="J1" s="5"/>
      <c r="K1" s="5"/>
      <c r="L1" s="5"/>
      <c r="M1" s="5"/>
      <c r="N1" s="5"/>
      <c r="O1" s="5"/>
      <c r="P1" s="5"/>
      <c r="Q1" s="5"/>
      <c r="R1" s="5"/>
      <c r="S1" s="5"/>
      <c r="T1" s="5"/>
      <c r="U1" s="5"/>
      <c r="V1" s="5"/>
      <c r="W1" s="5"/>
      <c r="X1" s="5"/>
      <c r="Y1" s="5"/>
      <c r="Z1" s="5"/>
      <c r="AA1" s="5"/>
    </row>
    <row r="2" ht="13.55" customHeight="1">
      <c r="A2" s="5"/>
      <c r="B2" s="5"/>
      <c r="C2" s="5"/>
      <c r="D2" s="5"/>
      <c r="E2" s="5"/>
      <c r="F2" s="5"/>
      <c r="G2" s="5"/>
      <c r="H2" s="5"/>
      <c r="I2" s="5"/>
      <c r="J2" s="5"/>
      <c r="K2" s="5"/>
      <c r="L2" s="5"/>
      <c r="M2" s="5"/>
      <c r="N2" s="5"/>
      <c r="O2" s="5"/>
      <c r="P2" s="5"/>
      <c r="Q2" s="5"/>
      <c r="R2" s="5"/>
      <c r="S2" s="5"/>
      <c r="T2" s="5"/>
      <c r="U2" s="5"/>
      <c r="V2" s="5"/>
      <c r="W2" s="5"/>
      <c r="X2" s="5"/>
      <c r="Y2" s="5"/>
      <c r="Z2" s="5"/>
      <c r="AA2" s="5"/>
    </row>
    <row r="3" ht="27.75" customHeight="1">
      <c r="A3" t="s" s="10">
        <v>2</v>
      </c>
      <c r="B3" t="s" s="10">
        <v>3</v>
      </c>
      <c r="C3" t="s" s="10">
        <v>4</v>
      </c>
      <c r="D3" t="s" s="10">
        <v>5</v>
      </c>
      <c r="E3" t="s" s="19">
        <v>6</v>
      </c>
      <c r="F3" t="s" s="10">
        <v>7</v>
      </c>
      <c r="G3" t="s" s="10">
        <v>8</v>
      </c>
      <c r="H3" t="s" s="19">
        <v>9</v>
      </c>
      <c r="I3" t="s" s="19">
        <v>10</v>
      </c>
      <c r="J3" t="s" s="19">
        <v>11</v>
      </c>
      <c r="K3" t="s" s="19">
        <v>12</v>
      </c>
      <c r="L3" t="s" s="19">
        <v>13</v>
      </c>
      <c r="M3" t="s" s="19">
        <v>14</v>
      </c>
      <c r="N3" t="s" s="19">
        <v>15</v>
      </c>
      <c r="O3" t="s" s="19">
        <v>16</v>
      </c>
      <c r="P3" t="s" s="19">
        <v>17</v>
      </c>
      <c r="Q3" t="s" s="19">
        <v>18</v>
      </c>
      <c r="R3" t="s" s="19">
        <v>19</v>
      </c>
      <c r="S3" t="s" s="19">
        <v>20</v>
      </c>
      <c r="T3" t="s" s="10">
        <v>21</v>
      </c>
      <c r="U3" t="s" s="10">
        <v>22</v>
      </c>
      <c r="V3" t="s" s="10">
        <v>23</v>
      </c>
      <c r="W3" t="s" s="19">
        <v>24</v>
      </c>
      <c r="X3" t="s" s="19">
        <v>25</v>
      </c>
      <c r="Y3" t="s" s="19">
        <v>26</v>
      </c>
      <c r="Z3" t="s" s="19">
        <v>27</v>
      </c>
      <c r="AA3" t="s" s="19">
        <v>28</v>
      </c>
    </row>
    <row r="4" ht="15" customHeight="1">
      <c r="A4" s="9">
        <v>77</v>
      </c>
      <c r="B4" t="s" s="10">
        <v>782</v>
      </c>
      <c r="C4" t="s" s="10">
        <v>493</v>
      </c>
      <c r="D4" t="s" s="10">
        <v>783</v>
      </c>
      <c r="E4" s="9">
        <v>4</v>
      </c>
      <c r="F4" t="s" s="10">
        <v>784</v>
      </c>
      <c r="G4" t="s" s="10">
        <v>785</v>
      </c>
      <c r="H4" s="9">
        <v>8</v>
      </c>
      <c r="I4" s="9">
        <v>5</v>
      </c>
      <c r="J4" s="9">
        <v>9</v>
      </c>
      <c r="K4" s="9">
        <v>9</v>
      </c>
      <c r="L4" s="9">
        <v>6</v>
      </c>
      <c r="M4" s="9">
        <v>7</v>
      </c>
      <c r="N4" s="9">
        <v>7</v>
      </c>
      <c r="O4" s="9">
        <v>8</v>
      </c>
      <c r="P4" s="9">
        <v>7</v>
      </c>
      <c r="Q4" s="9">
        <v>6</v>
      </c>
      <c r="R4" s="9">
        <v>9</v>
      </c>
      <c r="S4" s="9">
        <v>6</v>
      </c>
      <c r="T4" t="s" s="10">
        <v>608</v>
      </c>
      <c r="U4" t="s" s="10">
        <v>156</v>
      </c>
      <c r="V4" t="s" s="10">
        <v>786</v>
      </c>
      <c r="W4" s="9">
        <v>9</v>
      </c>
      <c r="X4" s="9">
        <v>8</v>
      </c>
      <c r="Y4" s="9">
        <v>1.4</v>
      </c>
      <c r="Z4" s="9">
        <v>4085</v>
      </c>
      <c r="AA4" t="s" s="10">
        <v>497</v>
      </c>
    </row>
    <row r="5" ht="13.55" customHeight="1">
      <c r="A5" s="5"/>
      <c r="B5" s="5"/>
      <c r="C5" s="5"/>
      <c r="D5" s="5"/>
      <c r="E5" s="5"/>
      <c r="F5" s="5"/>
      <c r="G5" s="5"/>
      <c r="H5" s="5"/>
      <c r="I5" s="5"/>
      <c r="J5" s="5"/>
      <c r="K5" s="5"/>
      <c r="L5" s="5"/>
      <c r="M5" s="5"/>
      <c r="N5" s="5"/>
      <c r="O5" s="5"/>
      <c r="P5" s="5"/>
      <c r="Q5" s="5"/>
      <c r="R5" s="5"/>
      <c r="S5" s="5"/>
      <c r="T5" s="5"/>
      <c r="U5" s="5"/>
      <c r="V5" s="5"/>
      <c r="W5" s="5"/>
      <c r="X5" s="5"/>
      <c r="Y5" s="5"/>
      <c r="Z5" s="5"/>
      <c r="AA5" s="5"/>
    </row>
    <row r="6" ht="15" customHeight="1">
      <c r="A6" t="s" s="10">
        <v>787</v>
      </c>
      <c r="B6" s="5"/>
      <c r="C6" s="5"/>
      <c r="D6" s="5"/>
      <c r="E6" s="5"/>
      <c r="F6" s="5"/>
      <c r="G6" s="5"/>
      <c r="H6" s="5"/>
      <c r="I6" s="5"/>
      <c r="J6" s="5"/>
      <c r="K6" s="5"/>
      <c r="L6" s="5"/>
      <c r="M6" s="5"/>
      <c r="N6" s="5"/>
      <c r="O6" s="5"/>
      <c r="P6" s="5"/>
      <c r="Q6" s="5"/>
      <c r="R6" s="5"/>
      <c r="S6" s="5"/>
      <c r="T6" s="5"/>
      <c r="U6" s="5"/>
      <c r="V6" s="5"/>
      <c r="W6" s="5"/>
      <c r="X6" s="5"/>
      <c r="Y6" s="5"/>
      <c r="Z6" s="5"/>
      <c r="AA6" s="5"/>
    </row>
    <row r="7" ht="13.55" customHeight="1">
      <c r="A7" s="5"/>
      <c r="B7" s="5"/>
      <c r="C7" s="5"/>
      <c r="D7" s="5"/>
      <c r="E7" s="5"/>
      <c r="F7" s="5"/>
      <c r="G7" s="5"/>
      <c r="H7" s="5"/>
      <c r="I7" s="5"/>
      <c r="J7" s="5"/>
      <c r="K7" s="5"/>
      <c r="L7" s="5"/>
      <c r="M7" s="5"/>
      <c r="N7" s="5"/>
      <c r="O7" s="5"/>
      <c r="P7" s="5"/>
      <c r="Q7" s="5"/>
      <c r="R7" s="5"/>
      <c r="S7" s="5"/>
      <c r="T7" s="5"/>
      <c r="U7" s="5"/>
      <c r="V7" s="5"/>
      <c r="W7" s="5"/>
      <c r="X7" s="5"/>
      <c r="Y7" s="5"/>
      <c r="Z7" s="5"/>
      <c r="AA7" s="5"/>
    </row>
    <row r="8" ht="13.55" customHeight="1">
      <c r="A8" s="5"/>
      <c r="B8" s="5"/>
      <c r="C8" s="5"/>
      <c r="D8" s="5"/>
      <c r="E8" s="5"/>
      <c r="F8" s="5"/>
      <c r="G8" s="5"/>
      <c r="H8" s="5"/>
      <c r="I8" s="5"/>
      <c r="J8" s="5"/>
      <c r="K8" s="5"/>
      <c r="L8" s="5"/>
      <c r="M8" s="5"/>
      <c r="N8" s="5"/>
      <c r="O8" s="5"/>
      <c r="P8" s="5"/>
      <c r="Q8" s="5"/>
      <c r="R8" s="5"/>
      <c r="S8" s="5"/>
      <c r="T8" s="5"/>
      <c r="U8" s="5"/>
      <c r="V8" s="5"/>
      <c r="W8" s="5"/>
      <c r="X8" s="5"/>
      <c r="Y8" s="5"/>
      <c r="Z8" s="5"/>
      <c r="AA8" s="5"/>
    </row>
    <row r="9" ht="13.55" customHeight="1">
      <c r="A9" s="5"/>
      <c r="B9" s="5"/>
      <c r="C9" s="5"/>
      <c r="D9" s="5"/>
      <c r="E9" s="5"/>
      <c r="F9" s="5"/>
      <c r="G9" s="5"/>
      <c r="H9" s="5"/>
      <c r="I9" s="5"/>
      <c r="J9" s="5"/>
      <c r="K9" s="5"/>
      <c r="L9" s="5"/>
      <c r="M9" s="5"/>
      <c r="N9" s="5"/>
      <c r="O9" s="5"/>
      <c r="P9" s="5"/>
      <c r="Q9" s="5"/>
      <c r="R9" s="5"/>
      <c r="S9" s="5"/>
      <c r="T9" s="5"/>
      <c r="U9" s="5"/>
      <c r="V9" s="5"/>
      <c r="W9" s="5"/>
      <c r="X9" s="5"/>
      <c r="Y9" s="5"/>
      <c r="Z9" s="5"/>
      <c r="AA9" s="5"/>
    </row>
    <row r="10" ht="13.55" customHeight="1">
      <c r="A10" s="5"/>
      <c r="B10" s="5"/>
      <c r="C10" s="5"/>
      <c r="D10" s="5"/>
      <c r="E10" s="5"/>
      <c r="F10" s="5"/>
      <c r="G10" s="5"/>
      <c r="H10" s="5"/>
      <c r="I10" s="5"/>
      <c r="J10" s="5"/>
      <c r="K10" s="5"/>
      <c r="L10" s="5"/>
      <c r="M10" s="5"/>
      <c r="N10" s="5"/>
      <c r="O10" s="5"/>
      <c r="P10" s="5"/>
      <c r="Q10" s="5"/>
      <c r="R10" s="5"/>
      <c r="S10" s="5"/>
      <c r="T10" s="5"/>
      <c r="U10" s="5"/>
      <c r="V10" s="5"/>
      <c r="W10" s="5"/>
      <c r="X10" s="5"/>
      <c r="Y10" s="5"/>
      <c r="Z10" s="5"/>
      <c r="AA10" s="5"/>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